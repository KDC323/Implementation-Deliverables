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webextensions/webextension1.xml" ContentType="application/vnd.ms-office.webextension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dcon\Desktop\"/>
    </mc:Choice>
  </mc:AlternateContent>
  <bookViews>
    <workbookView xWindow="0" yWindow="0" windowWidth="20496" windowHeight="7740" xr2:uid="{00000000-000D-0000-FFFF-FFFF00000000}"/>
  </bookViews>
  <sheets>
    <sheet name="ChartXpress Implementation" sheetId="4" r:id="rId1"/>
    <sheet name="Ongoing Activities Input Sheet" sheetId="8" r:id="rId2"/>
    <sheet name="Performance Graphs" sheetId="3" r:id="rId3"/>
    <sheet name="Issue Tracking" sheetId="15" r:id="rId4"/>
    <sheet name="Go Live Schedule" sheetId="14" r:id="rId5"/>
    <sheet name="List Index" sheetId="17" r:id="rId6"/>
  </sheets>
  <definedNames>
    <definedName name="DayNo" localSheetId="5">IF(DATEDIF(StartDate,TargetDate,"md")&gt;1," DAYS"," DAY")</definedName>
    <definedName name="DayNo">IF(DATEDIF(StartDate,TargetDate,"md")&gt;1," DAYS"," DAY")</definedName>
    <definedName name="StartDate">'ChartXpress Implementation'!#REF!</definedName>
    <definedName name="TargetDate">'ChartXpress Implementation'!$M$9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9" i="4" l="1"/>
  <c r="A21" i="4"/>
  <c r="B11" i="3" l="1"/>
  <c r="C2" i="14"/>
  <c r="C3" i="14"/>
  <c r="C4" i="14"/>
  <c r="C5" i="14"/>
  <c r="C6" i="14"/>
  <c r="C7" i="14"/>
  <c r="C8" i="14"/>
  <c r="C9" i="14"/>
  <c r="C10" i="14"/>
  <c r="C11" i="14"/>
  <c r="C12" i="14"/>
  <c r="C13" i="14"/>
  <c r="C14" i="14"/>
  <c r="J2" i="17"/>
  <c r="J3" i="17"/>
  <c r="J13" i="4" l="1"/>
  <c r="K11" i="4"/>
  <c r="J11" i="4"/>
  <c r="J10" i="4"/>
  <c r="J12" i="4"/>
  <c r="A18" i="4" l="1"/>
  <c r="A20" i="4"/>
  <c r="A17" i="4"/>
  <c r="H4" i="15"/>
  <c r="H5" i="15"/>
  <c r="H6" i="15"/>
  <c r="H7" i="15"/>
  <c r="H8" i="15"/>
  <c r="H9" i="15"/>
  <c r="H10" i="15"/>
  <c r="I4" i="15"/>
  <c r="I5" i="15"/>
  <c r="I6" i="15"/>
  <c r="I7" i="15"/>
  <c r="I8" i="15"/>
  <c r="I9" i="15"/>
  <c r="I10" i="15"/>
  <c r="F11" i="15"/>
  <c r="C11" i="15"/>
  <c r="A27" i="4"/>
  <c r="H11" i="15" l="1"/>
  <c r="C22" i="4" s="1"/>
  <c r="I11" i="15"/>
  <c r="D22" i="4" s="1"/>
  <c r="J4" i="17"/>
  <c r="J5" i="17"/>
  <c r="A22" i="14" l="1"/>
  <c r="A24" i="4" s="1"/>
  <c r="H3" i="15"/>
  <c r="I3" i="15"/>
  <c r="C15" i="4" l="1"/>
  <c r="C14" i="4"/>
  <c r="C13" i="4"/>
  <c r="C12" i="4"/>
  <c r="C11" i="4"/>
  <c r="C10" i="4"/>
  <c r="F4" i="8"/>
  <c r="A5" i="4" s="1"/>
  <c r="A11" i="4"/>
  <c r="A12" i="4"/>
  <c r="A13" i="4"/>
  <c r="A14" i="4"/>
  <c r="A15" i="4"/>
  <c r="A10" i="4"/>
  <c r="G23" i="3" l="1"/>
  <c r="K13" i="4" s="1"/>
  <c r="B23" i="3"/>
  <c r="K12" i="4" s="1"/>
  <c r="K10" i="4"/>
  <c r="G11" i="3"/>
</calcChain>
</file>

<file path=xl/sharedStrings.xml><?xml version="1.0" encoding="utf-8"?>
<sst xmlns="http://schemas.openxmlformats.org/spreadsheetml/2006/main" count="166" uniqueCount="131">
  <si>
    <t>Hospital Networks</t>
  </si>
  <si>
    <t>Mercy Health</t>
  </si>
  <si>
    <t>Summa Health</t>
  </si>
  <si>
    <t>Hospitals</t>
  </si>
  <si>
    <t>Modality</t>
  </si>
  <si>
    <t>Anderson</t>
  </si>
  <si>
    <t>Jewish</t>
  </si>
  <si>
    <t>Regions</t>
  </si>
  <si>
    <t>KYIN</t>
  </si>
  <si>
    <t>HMHP</t>
  </si>
  <si>
    <t>CMHP</t>
  </si>
  <si>
    <t>SWOH</t>
  </si>
  <si>
    <t>MHPN</t>
  </si>
  <si>
    <t>CHPO</t>
  </si>
  <si>
    <t>West</t>
  </si>
  <si>
    <t>High Acuity</t>
  </si>
  <si>
    <t>Low Acuity</t>
  </si>
  <si>
    <t>Capsule Technologie</t>
  </si>
  <si>
    <t>CP Team</t>
  </si>
  <si>
    <t>Optime</t>
  </si>
  <si>
    <t>Interfaces</t>
  </si>
  <si>
    <t>ClinDoc</t>
  </si>
  <si>
    <t xml:space="preserve">Lourdes </t>
  </si>
  <si>
    <t xml:space="preserve">St. Anne's </t>
  </si>
  <si>
    <t>St. Vincent's</t>
  </si>
  <si>
    <t>St. Charles'</t>
  </si>
  <si>
    <t>St. Elizabeth's</t>
  </si>
  <si>
    <t>Springfield Regional Medical Center</t>
  </si>
  <si>
    <t>Mercy Memorial</t>
  </si>
  <si>
    <t>St. Joseph's</t>
  </si>
  <si>
    <t>St. Elizabeth's Boardman</t>
  </si>
  <si>
    <t>Mercy Allen</t>
  </si>
  <si>
    <t>Marcum and Wallace</t>
  </si>
  <si>
    <t>Willard</t>
  </si>
  <si>
    <t>Tiffen</t>
  </si>
  <si>
    <t>Defiance</t>
  </si>
  <si>
    <t>Clermont</t>
  </si>
  <si>
    <t>Other</t>
  </si>
  <si>
    <t>Vendor</t>
  </si>
  <si>
    <t>Completed</t>
  </si>
  <si>
    <t>Column1</t>
  </si>
  <si>
    <t>PROJECT STATUS</t>
  </si>
  <si>
    <t>To Do Prior to Next Go Live:</t>
  </si>
  <si>
    <t>To Do Prior to Next Go Live</t>
  </si>
  <si>
    <t>Server</t>
  </si>
  <si>
    <t>Incidents Reported</t>
  </si>
  <si>
    <t>Incidents from Previous Report</t>
  </si>
  <si>
    <t>∆</t>
  </si>
  <si>
    <t>˄</t>
  </si>
  <si>
    <t>˅</t>
  </si>
  <si>
    <t>Site</t>
  </si>
  <si>
    <t>Capsule Implementation</t>
  </si>
  <si>
    <t>St. Elizabeth</t>
  </si>
  <si>
    <t xml:space="preserve">St. Joseph </t>
  </si>
  <si>
    <t>St. Elizabeth - Boardman</t>
  </si>
  <si>
    <t>St. Charles</t>
  </si>
  <si>
    <t>St. Anne's</t>
  </si>
  <si>
    <t>St. Vincents</t>
  </si>
  <si>
    <t xml:space="preserve">Jewish </t>
  </si>
  <si>
    <t>Tiffin</t>
  </si>
  <si>
    <t>Days until Implementation</t>
  </si>
  <si>
    <t>Incidents Reported:</t>
  </si>
  <si>
    <t>Total</t>
  </si>
  <si>
    <t>Outstanding Issues</t>
  </si>
  <si>
    <t>Patch Cables for MMH</t>
  </si>
  <si>
    <t>Capsule Technologie ChartXpress Implementation</t>
  </si>
  <si>
    <t>MDCOAP101930</t>
  </si>
  <si>
    <t>MDCOAP101931</t>
  </si>
  <si>
    <t>MDCOAP101932</t>
  </si>
  <si>
    <t>MDCOAP101933</t>
  </si>
  <si>
    <t>1.)How Many Devices are offline?</t>
  </si>
  <si>
    <t>2.)How Many Devices have been offline for over a week?</t>
  </si>
  <si>
    <t>4.)How Many devices have not submitted vitals in over a week?</t>
  </si>
  <si>
    <t>Springfield, Ohio</t>
  </si>
  <si>
    <t>Paducah, Kentucky</t>
  </si>
  <si>
    <t>Not Connected</t>
  </si>
  <si>
    <t>Connected</t>
  </si>
  <si>
    <t>Lima, Ohio</t>
  </si>
  <si>
    <t>Harrison, Ohio</t>
  </si>
  <si>
    <t>Live Sites</t>
  </si>
  <si>
    <t>Outstanding Issues:</t>
  </si>
  <si>
    <t xml:space="preserve">Urbana </t>
  </si>
  <si>
    <t>St. Rita's Hospital</t>
  </si>
  <si>
    <t>Lorain</t>
  </si>
  <si>
    <t>Allen</t>
  </si>
  <si>
    <t>Springfield</t>
  </si>
  <si>
    <t>Urbana</t>
  </si>
  <si>
    <t>n/a</t>
  </si>
  <si>
    <t>TBD</t>
  </si>
  <si>
    <t>Done</t>
  </si>
  <si>
    <t>Lima</t>
  </si>
  <si>
    <t>Paducah</t>
  </si>
  <si>
    <t>Harrison</t>
  </si>
  <si>
    <t>Deployed</t>
  </si>
  <si>
    <t>Springfield and Urbana</t>
  </si>
  <si>
    <t>Averaged Sum</t>
  </si>
  <si>
    <t>Mounting Hardware</t>
  </si>
  <si>
    <t>Software Configs</t>
  </si>
  <si>
    <t>Assembly</t>
  </si>
  <si>
    <t>Testing</t>
  </si>
  <si>
    <t>Training</t>
  </si>
  <si>
    <t>Notes:</t>
  </si>
  <si>
    <t xml:space="preserve">Confirmed Delivery of all hardware.  Coordination with V. Mihalik required to schedule training.  Assembly should begin promptly </t>
  </si>
  <si>
    <t>Re-rounding</t>
  </si>
  <si>
    <t>1.)MDCOAP 101930</t>
  </si>
  <si>
    <t xml:space="preserve">2.)MDCOAP 101931 </t>
  </si>
  <si>
    <t xml:space="preserve">3.)MDCOAP 101932 </t>
  </si>
  <si>
    <t xml:space="preserve">4.)MDCOAP 101933 </t>
  </si>
  <si>
    <t xml:space="preserve">5.)MDCOAP 101934 </t>
  </si>
  <si>
    <t xml:space="preserve">6.)MDCOAP 101935 </t>
  </si>
  <si>
    <t xml:space="preserve">7.)MDCOAP 102455 </t>
  </si>
  <si>
    <t>8.)MDCOAP 102456</t>
  </si>
  <si>
    <t>3.)How many devices have NEVER submitted vitals</t>
  </si>
  <si>
    <t>Usage Monitoring:</t>
  </si>
  <si>
    <t>3.)How many devices have NEVER submitted vitals?</t>
  </si>
  <si>
    <t>à</t>
  </si>
  <si>
    <t>CMHP - SRMC &amp; MMH</t>
  </si>
  <si>
    <t>WCOH - STR</t>
  </si>
  <si>
    <t>KYIN - KYINL</t>
  </si>
  <si>
    <t>SWOH - WEST</t>
  </si>
  <si>
    <t>Servers:</t>
  </si>
  <si>
    <t>1.) MDCOAP 101930</t>
  </si>
  <si>
    <t>7.) MDCOAP102455</t>
  </si>
  <si>
    <t>8.) MDCOAP102456</t>
  </si>
  <si>
    <t>2.) MDCOAP 101931</t>
  </si>
  <si>
    <t>3.) MDCOAP 101932</t>
  </si>
  <si>
    <t>4.) MDCOAP 101933</t>
  </si>
  <si>
    <t>5.) MDCOAP 101934</t>
  </si>
  <si>
    <t>6.) MDCOAP 101935</t>
  </si>
  <si>
    <t>ß</t>
  </si>
  <si>
    <t>W/A Spot 42 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</si>
</sst>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3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3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20"/>
      <color theme="10"/>
      <name val="Calibri"/>
      <family val="2"/>
      <scheme val="minor"/>
    </font>
    <font>
      <sz val="13"/>
      <color theme="4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6"/>
      <color theme="1"/>
      <name val="BrowalliaUPC"/>
      <family val="2"/>
    </font>
    <font>
      <sz val="16"/>
      <color theme="1"/>
      <name val="Browallia New"/>
      <family val="2"/>
    </font>
    <font>
      <b/>
      <sz val="16"/>
      <color rgb="FF00B0F0"/>
      <name val="Calibri"/>
      <family val="2"/>
      <scheme val="minor"/>
    </font>
    <font>
      <b/>
      <sz val="16"/>
      <color rgb="FF00B0F0"/>
      <name val="Stencil"/>
      <family val="5"/>
    </font>
    <font>
      <b/>
      <sz val="16"/>
      <color rgb="FFFF0000"/>
      <name val="Calibri"/>
      <family val="2"/>
    </font>
    <font>
      <b/>
      <sz val="16"/>
      <color rgb="FF00B05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theme="7" tint="0.39997558519241921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17" applyNumberFormat="0" applyAlignment="0" applyProtection="0"/>
    <xf numFmtId="0" fontId="3" fillId="5" borderId="26" applyNumberFormat="0" applyFont="0" applyAlignment="0" applyProtection="0"/>
    <xf numFmtId="0" fontId="20" fillId="8" borderId="0" applyNumberFormat="0" applyBorder="0" applyAlignment="0" applyProtection="0"/>
  </cellStyleXfs>
  <cellXfs count="152">
    <xf numFmtId="0" fontId="0" fillId="0" borderId="0" xfId="0"/>
    <xf numFmtId="9" fontId="0" fillId="0" borderId="0" xfId="0" applyNumberFormat="1"/>
    <xf numFmtId="9" fontId="4" fillId="0" borderId="10" xfId="0" applyNumberFormat="1" applyFont="1" applyBorder="1" applyAlignment="1"/>
    <xf numFmtId="9" fontId="4" fillId="0" borderId="9" xfId="0" applyNumberFormat="1" applyFont="1" applyBorder="1" applyAlignment="1"/>
    <xf numFmtId="0" fontId="6" fillId="0" borderId="0" xfId="2"/>
    <xf numFmtId="49" fontId="7" fillId="0" borderId="0" xfId="0" applyNumberFormat="1" applyFont="1"/>
    <xf numFmtId="0" fontId="7" fillId="0" borderId="0" xfId="0" applyFont="1"/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6" fillId="0" borderId="20" xfId="2" applyBorder="1" applyAlignment="1"/>
    <xf numFmtId="0" fontId="11" fillId="0" borderId="21" xfId="2" applyFont="1" applyBorder="1"/>
    <xf numFmtId="0" fontId="13" fillId="0" borderId="22" xfId="2" applyFont="1" applyBorder="1"/>
    <xf numFmtId="0" fontId="1" fillId="0" borderId="0" xfId="0" applyFont="1"/>
    <xf numFmtId="0" fontId="14" fillId="0" borderId="0" xfId="0" applyFont="1"/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2" fillId="0" borderId="25" xfId="0" applyFont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5" xfId="0" applyBorder="1" applyAlignment="1">
      <alignment horizontal="center" vertic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9" fontId="0" fillId="5" borderId="26" xfId="6" applyNumberFormat="1" applyFont="1"/>
    <xf numFmtId="0" fontId="19" fillId="0" borderId="0" xfId="0" applyFont="1"/>
    <xf numFmtId="0" fontId="0" fillId="0" borderId="4" xfId="0" applyFill="1" applyBorder="1"/>
    <xf numFmtId="0" fontId="0" fillId="0" borderId="8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" xfId="0" applyBorder="1"/>
    <xf numFmtId="0" fontId="0" fillId="0" borderId="0" xfId="0" applyBorder="1"/>
    <xf numFmtId="0" fontId="0" fillId="0" borderId="3" xfId="0" applyBorder="1"/>
    <xf numFmtId="0" fontId="21" fillId="0" borderId="0" xfId="0" applyFont="1"/>
    <xf numFmtId="0" fontId="21" fillId="0" borderId="0" xfId="0" applyFont="1" applyAlignment="1">
      <alignment horizontal="right"/>
    </xf>
    <xf numFmtId="0" fontId="0" fillId="5" borderId="27" xfId="6" applyFont="1" applyBorder="1"/>
    <xf numFmtId="0" fontId="21" fillId="5" borderId="29" xfId="6" applyFont="1" applyBorder="1" applyAlignment="1">
      <alignment horizontal="right"/>
    </xf>
    <xf numFmtId="0" fontId="20" fillId="8" borderId="0" xfId="7"/>
    <xf numFmtId="0" fontId="0" fillId="0" borderId="18" xfId="0" applyBorder="1"/>
    <xf numFmtId="0" fontId="0" fillId="0" borderId="19" xfId="0" applyBorder="1"/>
    <xf numFmtId="0" fontId="0" fillId="0" borderId="39" xfId="0" applyBorder="1"/>
    <xf numFmtId="0" fontId="24" fillId="9" borderId="0" xfId="0" applyFont="1" applyFill="1" applyBorder="1"/>
    <xf numFmtId="0" fontId="24" fillId="9" borderId="12" xfId="0" applyFont="1" applyFill="1" applyBorder="1"/>
    <xf numFmtId="49" fontId="26" fillId="9" borderId="12" xfId="0" applyNumberFormat="1" applyFont="1" applyFill="1" applyBorder="1"/>
    <xf numFmtId="0" fontId="27" fillId="9" borderId="12" xfId="0" applyFont="1" applyFill="1" applyBorder="1"/>
    <xf numFmtId="0" fontId="2" fillId="7" borderId="27" xfId="0" applyFont="1" applyFill="1" applyBorder="1"/>
    <xf numFmtId="0" fontId="2" fillId="7" borderId="28" xfId="0" applyFont="1" applyFill="1" applyBorder="1"/>
    <xf numFmtId="0" fontId="0" fillId="7" borderId="29" xfId="0" applyFill="1" applyBorder="1"/>
    <xf numFmtId="0" fontId="0" fillId="0" borderId="4" xfId="0" applyBorder="1" applyAlignment="1">
      <alignment vertical="center"/>
    </xf>
    <xf numFmtId="0" fontId="9" fillId="3" borderId="18" xfId="4" applyBorder="1" applyAlignment="1">
      <alignment horizontal="center" vertical="center"/>
    </xf>
    <xf numFmtId="0" fontId="8" fillId="2" borderId="5" xfId="3" applyBorder="1" applyAlignment="1">
      <alignment horizontal="center" vertical="center"/>
    </xf>
    <xf numFmtId="0" fontId="9" fillId="3" borderId="19" xfId="4" applyBorder="1" applyAlignment="1">
      <alignment horizontal="center" vertical="center"/>
    </xf>
    <xf numFmtId="0" fontId="8" fillId="2" borderId="8" xfId="3" applyBorder="1" applyAlignment="1">
      <alignment horizontal="center" vertic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14" fontId="2" fillId="0" borderId="1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17" fillId="0" borderId="1" xfId="2" applyFont="1" applyBorder="1" applyAlignment="1">
      <alignment horizontal="center" vertical="center"/>
    </xf>
    <xf numFmtId="0" fontId="17" fillId="0" borderId="2" xfId="2" applyFont="1" applyBorder="1" applyAlignment="1">
      <alignment horizontal="center" vertical="center"/>
    </xf>
    <xf numFmtId="0" fontId="17" fillId="0" borderId="3" xfId="2" applyFont="1" applyBorder="1" applyAlignment="1">
      <alignment horizontal="center" vertical="center"/>
    </xf>
    <xf numFmtId="0" fontId="17" fillId="0" borderId="4" xfId="2" applyFont="1" applyBorder="1" applyAlignment="1">
      <alignment horizontal="center" vertical="center"/>
    </xf>
    <xf numFmtId="0" fontId="17" fillId="0" borderId="0" xfId="2" applyFont="1" applyBorder="1" applyAlignment="1">
      <alignment horizontal="center" vertical="center"/>
    </xf>
    <xf numFmtId="0" fontId="17" fillId="0" borderId="5" xfId="2" applyFont="1" applyBorder="1" applyAlignment="1">
      <alignment horizontal="center" vertical="center"/>
    </xf>
    <xf numFmtId="0" fontId="17" fillId="0" borderId="6" xfId="2" applyFont="1" applyBorder="1" applyAlignment="1">
      <alignment horizontal="center" vertical="center"/>
    </xf>
    <xf numFmtId="0" fontId="17" fillId="0" borderId="7" xfId="2" applyFont="1" applyBorder="1" applyAlignment="1">
      <alignment horizontal="center" vertical="center"/>
    </xf>
    <xf numFmtId="0" fontId="17" fillId="0" borderId="8" xfId="2" applyFont="1" applyBorder="1" applyAlignment="1">
      <alignment horizontal="center" vertical="center"/>
    </xf>
    <xf numFmtId="0" fontId="13" fillId="0" borderId="1" xfId="2" applyFont="1" applyBorder="1" applyAlignment="1">
      <alignment vertical="center"/>
    </xf>
    <xf numFmtId="0" fontId="13" fillId="0" borderId="23" xfId="2" applyFont="1" applyBorder="1" applyAlignment="1">
      <alignment vertical="center"/>
    </xf>
    <xf numFmtId="0" fontId="13" fillId="0" borderId="6" xfId="2" applyFont="1" applyBorder="1" applyAlignment="1">
      <alignment vertical="center"/>
    </xf>
    <xf numFmtId="0" fontId="13" fillId="0" borderId="24" xfId="2" applyFont="1" applyBorder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9" fontId="5" fillId="0" borderId="4" xfId="0" applyNumberFormat="1" applyFont="1" applyBorder="1" applyAlignment="1">
      <alignment horizontal="center" vertical="center"/>
    </xf>
    <xf numFmtId="9" fontId="5" fillId="0" borderId="0" xfId="0" applyNumberFormat="1" applyFont="1" applyBorder="1" applyAlignment="1">
      <alignment horizontal="center" vertical="center"/>
    </xf>
    <xf numFmtId="9" fontId="5" fillId="0" borderId="5" xfId="0" applyNumberFormat="1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9" fontId="5" fillId="0" borderId="7" xfId="0" applyNumberFormat="1" applyFont="1" applyBorder="1" applyAlignment="1">
      <alignment horizontal="center" vertical="center"/>
    </xf>
    <xf numFmtId="9" fontId="5" fillId="0" borderId="8" xfId="0" applyNumberFormat="1" applyFont="1" applyBorder="1" applyAlignment="1">
      <alignment horizontal="center" vertical="center"/>
    </xf>
    <xf numFmtId="0" fontId="13" fillId="0" borderId="1" xfId="2" applyFont="1" applyBorder="1"/>
    <xf numFmtId="0" fontId="13" fillId="0" borderId="2" xfId="2" applyFont="1" applyBorder="1"/>
    <xf numFmtId="0" fontId="13" fillId="0" borderId="3" xfId="2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3" fillId="0" borderId="30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0" fillId="0" borderId="4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22" fillId="0" borderId="3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33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10" fillId="4" borderId="17" xfId="5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0" fillId="4" borderId="37" xfId="5" applyBorder="1" applyAlignment="1">
      <alignment horizontal="center" vertical="center"/>
    </xf>
    <xf numFmtId="0" fontId="10" fillId="4" borderId="38" xfId="5" applyBorder="1" applyAlignment="1">
      <alignment horizontal="center" vertical="center"/>
    </xf>
    <xf numFmtId="0" fontId="18" fillId="6" borderId="25" xfId="0" applyFont="1" applyFill="1" applyBorder="1" applyAlignment="1">
      <alignment horizontal="center"/>
    </xf>
    <xf numFmtId="9" fontId="2" fillId="0" borderId="25" xfId="1" applyFont="1" applyBorder="1" applyAlignment="1">
      <alignment horizontal="center" vertical="center"/>
    </xf>
    <xf numFmtId="0" fontId="0" fillId="5" borderId="26" xfId="6" applyFont="1" applyAlignment="1">
      <alignment horizontal="center"/>
    </xf>
    <xf numFmtId="0" fontId="25" fillId="9" borderId="0" xfId="0" applyFont="1" applyFill="1" applyBorder="1" applyAlignment="1">
      <alignment horizontal="center" vertical="center"/>
    </xf>
    <xf numFmtId="0" fontId="24" fillId="9" borderId="0" xfId="0" applyFont="1" applyFill="1" applyBorder="1" applyAlignment="1">
      <alignment horizontal="center" vertical="center" wrapText="1"/>
    </xf>
    <xf numFmtId="0" fontId="24" fillId="9" borderId="12" xfId="0" applyFont="1" applyFill="1" applyBorder="1" applyAlignment="1">
      <alignment horizontal="center" vertical="center" wrapText="1"/>
    </xf>
  </cellXfs>
  <cellStyles count="8">
    <cellStyle name="Accent1" xfId="7" builtinId="29"/>
    <cellStyle name="Bad" xfId="4" builtinId="27"/>
    <cellStyle name="Check Cell" xfId="5" builtinId="23"/>
    <cellStyle name="Good" xfId="3" builtinId="26"/>
    <cellStyle name="Hyperlink" xfId="2" builtinId="8"/>
    <cellStyle name="Normal" xfId="0" builtinId="0"/>
    <cellStyle name="Note" xfId="6" builtinId="10"/>
    <cellStyle name="Percent" xfId="1" builtinId="5"/>
  </cellStyles>
  <dxfs count="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Progress</a:t>
            </a:r>
          </a:p>
        </c:rich>
      </c:tx>
      <c:layout>
        <c:manualLayout>
          <c:xMode val="edge"/>
          <c:yMode val="edge"/>
          <c:x val="0.36412489063867015"/>
          <c:y val="0.271226662704897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914260717410324E-2"/>
          <c:y val="0.17171296296296296"/>
          <c:w val="0.90726640419947502"/>
          <c:h val="0.5403320939049285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'List Index'!$J$5</c:f>
              <c:numCache>
                <c:formatCode>0%</c:formatCode>
                <c:ptCount val="1"/>
                <c:pt idx="0">
                  <c:v>0.27777777777777779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D6-41AE-94F8-6470831A234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66048552"/>
        <c:axId val="266048160"/>
      </c:barChart>
      <c:catAx>
        <c:axId val="266048552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048160"/>
        <c:crosses val="autoZero"/>
        <c:auto val="1"/>
        <c:lblAlgn val="ctr"/>
        <c:lblOffset val="100"/>
        <c:noMultiLvlLbl val="0"/>
      </c:catAx>
      <c:valAx>
        <c:axId val="2660481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04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Reported</a:t>
            </a:r>
            <a:r>
              <a:rPr lang="en-US" baseline="0"/>
              <a:t> Incidents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'Issue Tracking'!$C$3:$C$10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3-4D8D-9907-20B054619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266050904"/>
        <c:axId val="266051296"/>
      </c:barChart>
      <c:catAx>
        <c:axId val="266050904"/>
        <c:scaling>
          <c:orientation val="minMax"/>
        </c:scaling>
        <c:delete val="0"/>
        <c:axPos val="l"/>
        <c:numFmt formatCode="#,##0;\-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051296"/>
        <c:crosses val="autoZero"/>
        <c:auto val="0"/>
        <c:lblAlgn val="ctr"/>
        <c:lblOffset val="100"/>
        <c:noMultiLvlLbl val="0"/>
      </c:catAx>
      <c:valAx>
        <c:axId val="26605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05090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MDCOAP101930</a:t>
            </a:r>
          </a:p>
        </c:rich>
      </c:tx>
      <c:layout>
        <c:manualLayout>
          <c:xMode val="edge"/>
          <c:yMode val="edge"/>
          <c:x val="0.3223678915135608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'Performance Graphs'!$H$26:$H$29</c:f>
              <c:numCache>
                <c:formatCode>General</c:formatCode>
                <c:ptCount val="4"/>
                <c:pt idx="0">
                  <c:v>33</c:v>
                </c:pt>
                <c:pt idx="1">
                  <c:v>14</c:v>
                </c:pt>
                <c:pt idx="2">
                  <c:v>8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D7-4801-8CA2-235B0CA276E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17857176"/>
        <c:axId val="317857568"/>
      </c:barChart>
      <c:catAx>
        <c:axId val="317857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57568"/>
        <c:crosses val="autoZero"/>
        <c:auto val="1"/>
        <c:lblAlgn val="ctr"/>
        <c:lblOffset val="100"/>
        <c:noMultiLvlLbl val="0"/>
      </c:catAx>
      <c:valAx>
        <c:axId val="31785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5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MDCOAP101931</a:t>
            </a:r>
          </a:p>
        </c:rich>
      </c:tx>
      <c:layout>
        <c:manualLayout>
          <c:xMode val="edge"/>
          <c:yMode val="edge"/>
          <c:x val="0.22495673524680382"/>
          <c:y val="4.64344941956882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'Performance Graphs'!$I$26:$I$29</c:f>
              <c:numCache>
                <c:formatCode>General</c:formatCode>
                <c:ptCount val="4"/>
                <c:pt idx="0">
                  <c:v>32</c:v>
                </c:pt>
                <c:pt idx="1">
                  <c:v>14</c:v>
                </c:pt>
                <c:pt idx="2">
                  <c:v>7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C4-45C0-AFA5-8DFD091E009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17858352"/>
        <c:axId val="317858744"/>
      </c:barChart>
      <c:catAx>
        <c:axId val="317858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58744"/>
        <c:crosses val="autoZero"/>
        <c:auto val="1"/>
        <c:lblAlgn val="ctr"/>
        <c:lblOffset val="100"/>
        <c:noMultiLvlLbl val="0"/>
      </c:catAx>
      <c:valAx>
        <c:axId val="317858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5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MDCOAP101932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'Performance Graphs'!$J$26:$J$29</c:f>
              <c:numCache>
                <c:formatCode>General</c:formatCode>
                <c:ptCount val="4"/>
                <c:pt idx="0">
                  <c:v>36</c:v>
                </c:pt>
                <c:pt idx="1">
                  <c:v>20</c:v>
                </c:pt>
                <c:pt idx="2">
                  <c:v>7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62-485E-91D8-C768C5B4F5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17859920"/>
        <c:axId val="317860312"/>
      </c:barChart>
      <c:catAx>
        <c:axId val="3178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60312"/>
        <c:crosses val="autoZero"/>
        <c:auto val="1"/>
        <c:lblAlgn val="ctr"/>
        <c:lblOffset val="100"/>
        <c:noMultiLvlLbl val="0"/>
      </c:catAx>
      <c:valAx>
        <c:axId val="31786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MDCOAP101933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'Performance Graphs'!$K$26:$K$29</c:f>
              <c:numCache>
                <c:formatCode>General</c:formatCode>
                <c:ptCount val="4"/>
                <c:pt idx="0">
                  <c:v>5</c:v>
                </c:pt>
                <c:pt idx="1">
                  <c:v>0</c:v>
                </c:pt>
                <c:pt idx="2">
                  <c:v>1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3A-490B-B569-87DA5BCF6B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17859528"/>
        <c:axId val="317861096"/>
      </c:barChart>
      <c:catAx>
        <c:axId val="317859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61096"/>
        <c:crosses val="autoZero"/>
        <c:auto val="1"/>
        <c:lblAlgn val="ctr"/>
        <c:lblOffset val="100"/>
        <c:noMultiLvlLbl val="0"/>
      </c:catAx>
      <c:valAx>
        <c:axId val="31786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5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MDCOAP101930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D06-477F-991D-FBDE05AD6B61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D06-477F-991D-FBDE05AD6B6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'Performance Graphs'!$B$11:$C$11</c:f>
              <c:numCache>
                <c:formatCode>General</c:formatCode>
                <c:ptCount val="2"/>
                <c:pt idx="0">
                  <c:v>32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06-477F-991D-FBDE05AD6B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MDCOAP101931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E2E-44AF-BA02-C9FD928000A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E2E-44AF-BA02-C9FD928000A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'Performance Graphs'!$G$11:$H$11</c:f>
              <c:numCache>
                <c:formatCode>General</c:formatCode>
                <c:ptCount val="2"/>
                <c:pt idx="0">
                  <c:v>45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2E-44AF-BA02-C9FD928000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MDCOAP101932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4DF-49CA-A907-FB3FF6DA42C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4DF-49CA-A907-FB3FF6DA42CC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'Performance Graphs'!$B$23:$C$23</c:f>
              <c:numCache>
                <c:formatCode>General</c:formatCode>
                <c:ptCount val="2"/>
                <c:pt idx="0">
                  <c:v>28</c:v>
                </c:pt>
                <c:pt idx="1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DF-49CA-A907-FB3FF6DA42C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987073490813637"/>
          <c:y val="0.49357575094779821"/>
          <c:w val="0.12346259842519686"/>
          <c:h val="0.1562510936132983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MDCOAP101933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SWOH-West</c:v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AC-4B69-B55A-CF513B0FED1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AC-4B69-B55A-CF513B0FED1E}"/>
              </c:ext>
            </c:extLst>
          </c:dPt>
          <c:dLbls>
            <c:dLbl>
              <c:idx val="0"/>
              <c:layout>
                <c:manualLayout>
                  <c:x val="-1.333675681844124E-2"/>
                  <c:y val="-0.21236573498488129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AC-4B69-B55A-CF513B0FED1E}"/>
                </c:ext>
              </c:extLst>
            </c:dLbl>
            <c:dLbl>
              <c:idx val="1"/>
              <c:layout>
                <c:manualLayout>
                  <c:x val="9.7110007988131259E-3"/>
                  <c:y val="5.3220364998234834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AC-4B69-B55A-CF513B0FED1E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'Performance Graphs'!$G$23:$H$23</c:f>
              <c:numCache>
                <c:formatCode>General</c:formatCode>
                <c:ptCount val="2"/>
                <c:pt idx="0">
                  <c:v>52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AC-4B69-B55A-CF513B0FED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MDCOAP101931</a:t>
            </a:r>
          </a:p>
        </c:rich>
      </c:tx>
      <c:layout>
        <c:manualLayout>
          <c:xMode val="edge"/>
          <c:yMode val="edge"/>
          <c:x val="0.22495673524680382"/>
          <c:y val="4.64344941956882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'Performance Graphs'!$I$26:$I$29</c:f>
              <c:numCache>
                <c:formatCode>General</c:formatCode>
                <c:ptCount val="4"/>
                <c:pt idx="0">
                  <c:v>32</c:v>
                </c:pt>
                <c:pt idx="1">
                  <c:v>14</c:v>
                </c:pt>
                <c:pt idx="2">
                  <c:v>7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1-48FC-B1D4-4585ABFAB3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18190432"/>
        <c:axId val="318190824"/>
      </c:barChart>
      <c:catAx>
        <c:axId val="318190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90824"/>
        <c:crosses val="autoZero"/>
        <c:auto val="1"/>
        <c:lblAlgn val="ctr"/>
        <c:lblOffset val="100"/>
        <c:noMultiLvlLbl val="0"/>
      </c:catAx>
      <c:valAx>
        <c:axId val="318190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9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MDCOAP101930</a:t>
            </a:r>
          </a:p>
        </c:rich>
      </c:tx>
      <c:layout>
        <c:manualLayout>
          <c:xMode val="edge"/>
          <c:yMode val="edge"/>
          <c:x val="0.3223678915135608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'Performance Graphs'!$H$26:$H$29</c:f>
              <c:numCache>
                <c:formatCode>General</c:formatCode>
                <c:ptCount val="4"/>
                <c:pt idx="0">
                  <c:v>33</c:v>
                </c:pt>
                <c:pt idx="1">
                  <c:v>14</c:v>
                </c:pt>
                <c:pt idx="2">
                  <c:v>8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D-4D4E-AAD5-824B51332C9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18191608"/>
        <c:axId val="318192000"/>
      </c:barChart>
      <c:catAx>
        <c:axId val="318191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92000"/>
        <c:crosses val="autoZero"/>
        <c:auto val="1"/>
        <c:lblAlgn val="ctr"/>
        <c:lblOffset val="100"/>
        <c:noMultiLvlLbl val="0"/>
      </c:catAx>
      <c:valAx>
        <c:axId val="31819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9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MDCOAP101932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'Performance Graphs'!$J$26:$J$29</c:f>
              <c:numCache>
                <c:formatCode>General</c:formatCode>
                <c:ptCount val="4"/>
                <c:pt idx="0">
                  <c:v>36</c:v>
                </c:pt>
                <c:pt idx="1">
                  <c:v>20</c:v>
                </c:pt>
                <c:pt idx="2">
                  <c:v>7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9-484D-98F7-A28F3CD1D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18192784"/>
        <c:axId val="318193176"/>
      </c:barChart>
      <c:catAx>
        <c:axId val="31819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93176"/>
        <c:crosses val="autoZero"/>
        <c:auto val="1"/>
        <c:lblAlgn val="ctr"/>
        <c:lblOffset val="100"/>
        <c:noMultiLvlLbl val="0"/>
      </c:catAx>
      <c:valAx>
        <c:axId val="318193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9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MDCOAP101933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'Performance Graphs'!$K$26:$K$29</c:f>
              <c:numCache>
                <c:formatCode>General</c:formatCode>
                <c:ptCount val="4"/>
                <c:pt idx="0">
                  <c:v>5</c:v>
                </c:pt>
                <c:pt idx="1">
                  <c:v>0</c:v>
                </c:pt>
                <c:pt idx="2">
                  <c:v>1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1-40AB-A6ED-43C32367D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18193960"/>
        <c:axId val="318194352"/>
      </c:barChart>
      <c:catAx>
        <c:axId val="318193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94352"/>
        <c:crosses val="autoZero"/>
        <c:auto val="1"/>
        <c:lblAlgn val="ctr"/>
        <c:lblOffset val="100"/>
        <c:noMultiLvlLbl val="0"/>
      </c:catAx>
      <c:valAx>
        <c:axId val="3181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9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CheckBox" fmlaLink="$H$2" lockText="1" noThreeD="1"/>
</file>

<file path=xl/ctrlProps/ctrlProp2.xml><?xml version="1.0" encoding="utf-8"?>
<formControlPr xmlns="http://schemas.microsoft.com/office/spreadsheetml/2009/9/main" objectType="CheckBox" fmlaLink="$H$3" lockText="1" noThreeD="1"/>
</file>

<file path=xl/ctrlProps/ctrlProp3.xml><?xml version="1.0" encoding="utf-8"?>
<formControlPr xmlns="http://schemas.microsoft.com/office/spreadsheetml/2009/9/main" objectType="CheckBox" fmlaLink="$H$4" lockText="1" noThreeD="1"/>
</file>

<file path=xl/ctrlProps/ctrlProp4.xml><?xml version="1.0" encoding="utf-8"?>
<formControlPr xmlns="http://schemas.microsoft.com/office/spreadsheetml/2009/9/main" objectType="CheckBox" fmlaLink="$H$5" lockText="1" noThreeD="1"/>
</file>

<file path=xl/ctrlProps/ctrlProp5.xml><?xml version="1.0" encoding="utf-8"?>
<formControlPr xmlns="http://schemas.microsoft.com/office/spreadsheetml/2009/9/main" objectType="CheckBox" checked="Checked" fmlaLink="$H$6" lockText="1" noThreeD="1"/>
</file>

<file path=xl/ctrlProps/ctrlProp6.xml><?xml version="1.0" encoding="utf-8"?>
<formControlPr xmlns="http://schemas.microsoft.com/office/spreadsheetml/2009/9/main" objectType="CheckBox" fmlaLink="$H$7" lockText="1" noThreeD="1"/>
</file>

<file path=xl/ctrlProps/ctrlProp7.xml><?xml version="1.0" encoding="utf-8"?>
<formControlPr xmlns="http://schemas.microsoft.com/office/spreadsheetml/2009/9/main" objectType="CheckBox" fmlaLink="$H$8" lockText="1" noThreeD="1"/>
</file>

<file path=xl/ctrlProps/ctrlProp8.xml><?xml version="1.0" encoding="utf-8"?>
<formControlPr xmlns="http://schemas.microsoft.com/office/spreadsheetml/2009/9/main" objectType="CheckBox" fmlaLink="$H$9" lockText="1" noThreeD="1"/>
</file>

<file path=xl/ctrlProps/ctrlProp9.xml><?xml version="1.0" encoding="utf-8"?>
<formControlPr xmlns="http://schemas.microsoft.com/office/spreadsheetml/2009/9/main" objectType="CheckBox" checked="Checked" fmlaLink="$H$10" lockText="1" noThreeD="1"/>
</file>

<file path=xl/ctrlProps/ctrlProp10.xml><?xml version="1.0" encoding="utf-8"?>
<formControlPr xmlns="http://schemas.microsoft.com/office/spreadsheetml/2009/9/main" objectType="CheckBox" fmlaLink="$H$11" lockText="1" noThreeD="1"/>
</file>

<file path=xl/ctrlProps/ctrlProp11.xml><?xml version="1.0" encoding="utf-8"?>
<formControlPr xmlns="http://schemas.microsoft.com/office/spreadsheetml/2009/9/main" objectType="CheckBox" fmlaLink="$H$12" lockText="1" noThreeD="1"/>
</file>

<file path=xl/ctrlProps/ctrlProp12.xml><?xml version="1.0" encoding="utf-8"?>
<formControlPr xmlns="http://schemas.microsoft.com/office/spreadsheetml/2009/9/main" objectType="CheckBox" fmlaLink="$H$13" lockText="1" noThreeD="1"/>
</file>

<file path=xl/ctrlProps/ctrlProp13.xml><?xml version="1.0" encoding="utf-8"?>
<formControlPr xmlns="http://schemas.microsoft.com/office/spreadsheetml/2009/9/main" objectType="CheckBox" fmlaLink="$H$14" lockText="1" noThreeD="1"/>
</file>

<file path=xl/ctrlProps/ctrlProp14.xml><?xml version="1.0" encoding="utf-8"?>
<formControlPr xmlns="http://schemas.microsoft.com/office/spreadsheetml/2009/9/main" objectType="CheckBox" fmlaLink="$H$15" lockText="1" noThreeD="1"/>
</file>

<file path=xl/ctrlProps/ctrlProp15.xml><?xml version="1.0" encoding="utf-8"?>
<formControlPr xmlns="http://schemas.microsoft.com/office/spreadsheetml/2009/9/main" objectType="CheckBox" fmlaLink="$H$16" lockText="1" noThreeD="1"/>
</file>

<file path=xl/ctrlProps/ctrlProp16.xml><?xml version="1.0" encoding="utf-8"?>
<formControlPr xmlns="http://schemas.microsoft.com/office/spreadsheetml/2009/9/main" objectType="CheckBox" fmlaLink="$H$17" lockText="1" noThreeD="1"/>
</file>

<file path=xl/ctrlProps/ctrlProp17.xml><?xml version="1.0" encoding="utf-8"?>
<formControlPr xmlns="http://schemas.microsoft.com/office/spreadsheetml/2009/9/main" objectType="CheckBox" checked="Checked" fmlaLink="$H$18" lockText="1" noThreeD="1"/>
</file>

<file path=xl/ctrlProps/ctrlProp18.xml><?xml version="1.0" encoding="utf-8"?>
<formControlPr xmlns="http://schemas.microsoft.com/office/spreadsheetml/2009/9/main" objectType="CheckBox" fmlaLink="$H$19" lockText="1" noThreeD="1"/>
</file>

<file path=xl/ctrlProps/ctrlProp19.xml><?xml version="1.0" encoding="utf-8"?>
<formControlPr xmlns="http://schemas.microsoft.com/office/spreadsheetml/2009/9/main" objectType="CheckBox" checked="Checked" fmlaLink="$H$20" lockText="1" noThreeD="1"/>
</file>

<file path=xl/ctrlProps/ctrlProp20.xml><?xml version="1.0" encoding="utf-8"?>
<formControlPr xmlns="http://schemas.microsoft.com/office/spreadsheetml/2009/9/main" objectType="CheckBox" checked="Checked" fmlaLink="$H$21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microsoft.com/office/2011/relationships/webextension" Target="../webextensions/webextension1.xml"/><Relationship Id="rId7" Type="http://schemas.openxmlformats.org/officeDocument/2006/relationships/chart" Target="../charts/chart4.xml"/><Relationship Id="rId2" Type="http://schemas.openxmlformats.org/officeDocument/2006/relationships/chart" Target="../charts/chart1.xml"/><Relationship Id="rId1" Type="http://schemas.openxmlformats.org/officeDocument/2006/relationships/hyperlink" Target="#'List Index'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1.png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1</xdr:row>
      <xdr:rowOff>171450</xdr:rowOff>
    </xdr:from>
    <xdr:to>
      <xdr:col>10</xdr:col>
      <xdr:colOff>323850</xdr:colOff>
      <xdr:row>7</xdr:row>
      <xdr:rowOff>38100</xdr:rowOff>
    </xdr:to>
    <xdr:graphicFrame macro="">
      <xdr:nvGraphicFramePr>
        <xdr:cNvPr id="3" name="Char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</xdr:colOff>
      <xdr:row>7</xdr:row>
      <xdr:rowOff>66675</xdr:rowOff>
    </xdr:from>
    <xdr:to>
      <xdr:col>7</xdr:col>
      <xdr:colOff>552450</xdr:colOff>
      <xdr:row>19</xdr:row>
      <xdr:rowOff>133349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p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2" name="Ap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4</xdr:col>
      <xdr:colOff>0</xdr:colOff>
      <xdr:row>21</xdr:row>
      <xdr:rowOff>0</xdr:rowOff>
    </xdr:from>
    <xdr:to>
      <xdr:col>7</xdr:col>
      <xdr:colOff>342900</xdr:colOff>
      <xdr:row>32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47625</xdr:colOff>
      <xdr:row>0</xdr:row>
      <xdr:rowOff>180975</xdr:rowOff>
    </xdr:from>
    <xdr:to>
      <xdr:col>16</xdr:col>
      <xdr:colOff>9525</xdr:colOff>
      <xdr:row>8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47625</xdr:colOff>
      <xdr:row>8</xdr:row>
      <xdr:rowOff>152400</xdr:rowOff>
    </xdr:from>
    <xdr:to>
      <xdr:col>16</xdr:col>
      <xdr:colOff>28575</xdr:colOff>
      <xdr:row>15</xdr:row>
      <xdr:rowOff>219075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38100</xdr:colOff>
      <xdr:row>16</xdr:row>
      <xdr:rowOff>38100</xdr:rowOff>
    </xdr:from>
    <xdr:to>
      <xdr:col>16</xdr:col>
      <xdr:colOff>57150</xdr:colOff>
      <xdr:row>24</xdr:row>
      <xdr:rowOff>152399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9525</xdr:colOff>
      <xdr:row>25</xdr:row>
      <xdr:rowOff>19050</xdr:rowOff>
    </xdr:from>
    <xdr:to>
      <xdr:col>16</xdr:col>
      <xdr:colOff>95250</xdr:colOff>
      <xdr:row>33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19050</xdr:rowOff>
    </xdr:from>
    <xdr:to>
      <xdr:col>4</xdr:col>
      <xdr:colOff>161925</xdr:colOff>
      <xdr:row>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361952</xdr:colOff>
      <xdr:row>0</xdr:row>
      <xdr:rowOff>19050</xdr:rowOff>
    </xdr:from>
    <xdr:to>
      <xdr:col>9</xdr:col>
      <xdr:colOff>9526</xdr:colOff>
      <xdr:row>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57150</xdr:colOff>
      <xdr:row>12</xdr:row>
      <xdr:rowOff>38100</xdr:rowOff>
    </xdr:from>
    <xdr:to>
      <xdr:col>4</xdr:col>
      <xdr:colOff>219075</xdr:colOff>
      <xdr:row>20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323852</xdr:colOff>
      <xdr:row>12</xdr:row>
      <xdr:rowOff>28575</xdr:rowOff>
    </xdr:from>
    <xdr:to>
      <xdr:col>8</xdr:col>
      <xdr:colOff>981075</xdr:colOff>
      <xdr:row>20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304800</xdr:colOff>
      <xdr:row>41</xdr:row>
      <xdr:rowOff>57150</xdr:rowOff>
    </xdr:from>
    <xdr:to>
      <xdr:col>4</xdr:col>
      <xdr:colOff>0</xdr:colOff>
      <xdr:row>51</xdr:row>
      <xdr:rowOff>66675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314325</xdr:colOff>
      <xdr:row>29</xdr:row>
      <xdr:rowOff>47625</xdr:rowOff>
    </xdr:from>
    <xdr:to>
      <xdr:col>3</xdr:col>
      <xdr:colOff>990600</xdr:colOff>
      <xdr:row>41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142875</xdr:colOff>
      <xdr:row>29</xdr:row>
      <xdr:rowOff>47625</xdr:rowOff>
    </xdr:from>
    <xdr:to>
      <xdr:col>7</xdr:col>
      <xdr:colOff>1114425</xdr:colOff>
      <xdr:row>40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171449</xdr:colOff>
      <xdr:row>41</xdr:row>
      <xdr:rowOff>19050</xdr:rowOff>
    </xdr:from>
    <xdr:to>
      <xdr:col>7</xdr:col>
      <xdr:colOff>1209674</xdr:colOff>
      <xdr:row>51</xdr:row>
      <xdr:rowOff>104775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0</xdr:row>
          <xdr:rowOff>182880</xdr:rowOff>
        </xdr:from>
        <xdr:to>
          <xdr:col>7</xdr:col>
          <xdr:colOff>807720</xdr:colOff>
          <xdr:row>2</xdr:row>
          <xdr:rowOff>7620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1</xdr:row>
          <xdr:rowOff>182880</xdr:rowOff>
        </xdr:from>
        <xdr:to>
          <xdr:col>7</xdr:col>
          <xdr:colOff>807720</xdr:colOff>
          <xdr:row>3</xdr:row>
          <xdr:rowOff>7620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2</xdr:row>
          <xdr:rowOff>182880</xdr:rowOff>
        </xdr:from>
        <xdr:to>
          <xdr:col>7</xdr:col>
          <xdr:colOff>807720</xdr:colOff>
          <xdr:row>4</xdr:row>
          <xdr:rowOff>7620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3</xdr:row>
          <xdr:rowOff>182880</xdr:rowOff>
        </xdr:from>
        <xdr:to>
          <xdr:col>7</xdr:col>
          <xdr:colOff>807720</xdr:colOff>
          <xdr:row>5</xdr:row>
          <xdr:rowOff>7620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4</xdr:row>
          <xdr:rowOff>182880</xdr:rowOff>
        </xdr:from>
        <xdr:to>
          <xdr:col>7</xdr:col>
          <xdr:colOff>807720</xdr:colOff>
          <xdr:row>6</xdr:row>
          <xdr:rowOff>7620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5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5</xdr:row>
          <xdr:rowOff>182880</xdr:rowOff>
        </xdr:from>
        <xdr:to>
          <xdr:col>7</xdr:col>
          <xdr:colOff>807720</xdr:colOff>
          <xdr:row>7</xdr:row>
          <xdr:rowOff>7620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6</xdr:row>
          <xdr:rowOff>182880</xdr:rowOff>
        </xdr:from>
        <xdr:to>
          <xdr:col>7</xdr:col>
          <xdr:colOff>807720</xdr:colOff>
          <xdr:row>8</xdr:row>
          <xdr:rowOff>7620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5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7</xdr:row>
          <xdr:rowOff>182880</xdr:rowOff>
        </xdr:from>
        <xdr:to>
          <xdr:col>7</xdr:col>
          <xdr:colOff>807720</xdr:colOff>
          <xdr:row>9</xdr:row>
          <xdr:rowOff>7620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5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8</xdr:row>
          <xdr:rowOff>182880</xdr:rowOff>
        </xdr:from>
        <xdr:to>
          <xdr:col>7</xdr:col>
          <xdr:colOff>807720</xdr:colOff>
          <xdr:row>10</xdr:row>
          <xdr:rowOff>7620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5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9</xdr:row>
          <xdr:rowOff>182880</xdr:rowOff>
        </xdr:from>
        <xdr:to>
          <xdr:col>7</xdr:col>
          <xdr:colOff>807720</xdr:colOff>
          <xdr:row>11</xdr:row>
          <xdr:rowOff>7620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5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10</xdr:row>
          <xdr:rowOff>182880</xdr:rowOff>
        </xdr:from>
        <xdr:to>
          <xdr:col>7</xdr:col>
          <xdr:colOff>807720</xdr:colOff>
          <xdr:row>12</xdr:row>
          <xdr:rowOff>7620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5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11</xdr:row>
          <xdr:rowOff>182880</xdr:rowOff>
        </xdr:from>
        <xdr:to>
          <xdr:col>7</xdr:col>
          <xdr:colOff>807720</xdr:colOff>
          <xdr:row>13</xdr:row>
          <xdr:rowOff>7620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5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12</xdr:row>
          <xdr:rowOff>182880</xdr:rowOff>
        </xdr:from>
        <xdr:to>
          <xdr:col>7</xdr:col>
          <xdr:colOff>807720</xdr:colOff>
          <xdr:row>14</xdr:row>
          <xdr:rowOff>7620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5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13</xdr:row>
          <xdr:rowOff>182880</xdr:rowOff>
        </xdr:from>
        <xdr:to>
          <xdr:col>7</xdr:col>
          <xdr:colOff>807720</xdr:colOff>
          <xdr:row>15</xdr:row>
          <xdr:rowOff>7620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5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14</xdr:row>
          <xdr:rowOff>182880</xdr:rowOff>
        </xdr:from>
        <xdr:to>
          <xdr:col>7</xdr:col>
          <xdr:colOff>807720</xdr:colOff>
          <xdr:row>16</xdr:row>
          <xdr:rowOff>7620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5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15</xdr:row>
          <xdr:rowOff>182880</xdr:rowOff>
        </xdr:from>
        <xdr:to>
          <xdr:col>7</xdr:col>
          <xdr:colOff>807720</xdr:colOff>
          <xdr:row>17</xdr:row>
          <xdr:rowOff>7620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5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16</xdr:row>
          <xdr:rowOff>182880</xdr:rowOff>
        </xdr:from>
        <xdr:to>
          <xdr:col>7</xdr:col>
          <xdr:colOff>807720</xdr:colOff>
          <xdr:row>18</xdr:row>
          <xdr:rowOff>7620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5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2545080</xdr:colOff>
          <xdr:row>17</xdr:row>
          <xdr:rowOff>182880</xdr:rowOff>
        </xdr:from>
        <xdr:to>
          <xdr:col>7</xdr:col>
          <xdr:colOff>807720</xdr:colOff>
          <xdr:row>19</xdr:row>
          <xdr:rowOff>7620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5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18</xdr:row>
          <xdr:rowOff>182880</xdr:rowOff>
        </xdr:from>
        <xdr:to>
          <xdr:col>7</xdr:col>
          <xdr:colOff>822960</xdr:colOff>
          <xdr:row>20</xdr:row>
          <xdr:rowOff>7620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5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20</xdr:row>
          <xdr:rowOff>0</xdr:rowOff>
        </xdr:from>
        <xdr:to>
          <xdr:col>7</xdr:col>
          <xdr:colOff>822960</xdr:colOff>
          <xdr:row>21</xdr:row>
          <xdr:rowOff>22860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5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able8" displayName="Table8" ref="A1:C21" totalsRowShown="0">
  <autoFilter ref="A1:C21" xr:uid="{00000000-0009-0000-0100-000007000000}"/>
  <tableColumns count="3">
    <tableColumn id="1" xr3:uid="{00000000-0010-0000-0000-000001000000}" name="Site"/>
    <tableColumn id="2" xr3:uid="{00000000-0010-0000-0000-000002000000}" name="Capsule Implementation" dataDxfId="1"/>
    <tableColumn id="3" xr3:uid="{00000000-0010-0000-0000-000003000000}" name="Days until Implementation" dataDxfId="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G1:H21" totalsRowShown="0">
  <autoFilter ref="G1:H21" xr:uid="{00000000-0009-0000-0100-000001000000}"/>
  <sortState ref="G3:G20">
    <sortCondition ref="G2:G20"/>
  </sortState>
  <tableColumns count="2">
    <tableColumn id="1" xr3:uid="{00000000-0010-0000-0100-000001000000}" name="Hospitals"/>
    <tableColumn id="2" xr3:uid="{00000000-0010-0000-0100-000002000000}" name="Comple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B1:B7" totalsRowShown="0">
  <autoFilter ref="B1:B7" xr:uid="{00000000-0009-0000-0100-000002000000}"/>
  <tableColumns count="1">
    <tableColumn id="1" xr3:uid="{00000000-0010-0000-0200-000001000000}" name="Region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3" displayName="Table3" ref="A1:A3" totalsRowShown="0">
  <autoFilter ref="A1:A3" xr:uid="{00000000-0009-0000-0100-000003000000}"/>
  <tableColumns count="1">
    <tableColumn id="1" xr3:uid="{00000000-0010-0000-0300-000001000000}" name="Hospital Network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4" displayName="Table4" ref="C1:C3" totalsRowShown="0">
  <autoFilter ref="C1:C3" xr:uid="{00000000-0009-0000-0100-000004000000}"/>
  <tableColumns count="1">
    <tableColumn id="1" xr3:uid="{00000000-0010-0000-0400-000001000000}" name="Modalit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e6" displayName="Table6" ref="E1:F4" totalsRowShown="0">
  <autoFilter ref="E1:F4" xr:uid="{00000000-0009-0000-0100-000005000000}"/>
  <tableColumns count="2">
    <tableColumn id="1" xr3:uid="{00000000-0010-0000-0500-000001000000}" name="CP Team"/>
    <tableColumn id="2" xr3:uid="{00000000-0010-0000-0500-000002000000}" name="Column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le7" displayName="Table7" ref="D1:D3" totalsRowShown="0">
  <autoFilter ref="D1:D3" xr:uid="{00000000-0009-0000-0100-000006000000}"/>
  <tableColumns count="1">
    <tableColumn id="1" xr3:uid="{00000000-0010-0000-0600-000001000000}" name="Vend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FF0000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00000000-0008-0000-0000-000002000000}" frozen="1">
  <we:reference id="wa102957661" version="1.4.0.0" store="en-US" storeType="OMEX"/>
  <we:alternateReferences/>
  <we:properties>
    <we:property name="mapType" value="&quot;automatic&quot;"/>
    <we:property name="pointType" value="&quot;pie&quot;"/>
    <we:property name="color" value="[&quot;#FF0000&quot;,&quot;#008000&quot;,&quot;#999900&quot;,&quot;#3366ff&quot;,&quot;#990055&quot;,&quot;#336633&quot;,&quot;#5500cc&quot;,&quot;#ff8c1a&quot;,&quot;#e60073&quot;,&quot;#666600&quot;,&quot;#0000ff&quot;,&quot;#996633&quot;,&quot;#00b386&quot;,&quot;#9900cc&quot;,&quot;#008000&quot;,&quot;#006699&quot;,&quot;#cc6600&quot;,&quot;#660080&quot;,&quot;#663300&quot;,&quot;#00a3a3&quot;,&quot;#990000&quot;,&quot;#FF0000&quot;,&quot;#FFA500&quot;,&quot;#FFFF00&quot;,&quot;#D4A017&quot;,&quot;#C0C0C0&quot;,&quot;#8C7853&quot;]"/>
    <we:property name="filters" value="[]"/>
    <we:property name="showLegend" value="&quot;show&quot;"/>
    <we:property name="legendLeft" value="6"/>
    <we:property name="legendTop" value="51"/>
  </we:properties>
  <we:bindings>
    <we:binding id="Locations" type="matrix" appref="{83DA6C8D-2A1C-4ED2-8D36-A7975BCAD3F3}"/>
  </we:bindings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table" Target="../tables/table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1"/>
  <sheetViews>
    <sheetView tabSelected="1" zoomScaleNormal="100" workbookViewId="0">
      <selection activeCell="K26" sqref="K26"/>
    </sheetView>
  </sheetViews>
  <sheetFormatPr defaultRowHeight="14.4" x14ac:dyDescent="0.3"/>
  <cols>
    <col min="2" max="2" width="11.88671875" customWidth="1"/>
    <col min="9" max="9" width="18.109375" customWidth="1"/>
    <col min="10" max="10" width="15.5546875" customWidth="1"/>
    <col min="11" max="11" width="10.6640625" customWidth="1"/>
  </cols>
  <sheetData>
    <row r="1" spans="1:19" ht="15" customHeight="1" x14ac:dyDescent="0.3">
      <c r="A1" s="138" t="s">
        <v>65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9" ht="15" customHeight="1" thickBot="1" x14ac:dyDescent="0.35">
      <c r="A2" s="138"/>
      <c r="B2" s="138"/>
      <c r="C2" s="138"/>
      <c r="D2" s="138"/>
      <c r="E2" s="138"/>
      <c r="F2" s="138"/>
      <c r="G2" s="138"/>
      <c r="H2" s="138"/>
      <c r="I2" s="138"/>
      <c r="J2" s="138"/>
      <c r="Q2" s="119" t="s">
        <v>116</v>
      </c>
      <c r="R2" s="120"/>
      <c r="S2" s="121"/>
    </row>
    <row r="3" spans="1:19" ht="15" customHeight="1" x14ac:dyDescent="0.3">
      <c r="A3" s="139" t="s">
        <v>41</v>
      </c>
      <c r="B3" s="140"/>
      <c r="C3" s="85"/>
      <c r="Q3" s="122"/>
      <c r="R3" s="123"/>
      <c r="S3" s="124"/>
    </row>
    <row r="4" spans="1:19" x14ac:dyDescent="0.3">
      <c r="A4" s="141"/>
      <c r="B4" s="142"/>
      <c r="C4" s="143"/>
      <c r="N4" s="4"/>
      <c r="O4" s="4"/>
      <c r="P4" s="4"/>
      <c r="Q4" s="4"/>
    </row>
    <row r="5" spans="1:19" x14ac:dyDescent="0.3">
      <c r="A5" s="107">
        <f>'Ongoing Activities Input Sheet'!F4</f>
        <v>0.59499999999999997</v>
      </c>
      <c r="B5" s="108"/>
      <c r="C5" s="109"/>
      <c r="M5" s="4"/>
      <c r="N5" s="4"/>
      <c r="O5" s="4"/>
      <c r="P5" s="4"/>
      <c r="Q5" s="4"/>
    </row>
    <row r="6" spans="1:19" ht="15" customHeight="1" x14ac:dyDescent="0.3">
      <c r="A6" s="107"/>
      <c r="B6" s="108"/>
      <c r="C6" s="109"/>
    </row>
    <row r="7" spans="1:19" ht="15" customHeight="1" thickBot="1" x14ac:dyDescent="0.35">
      <c r="A7" s="107"/>
      <c r="B7" s="108"/>
      <c r="C7" s="109"/>
    </row>
    <row r="8" spans="1:19" ht="15.75" customHeight="1" thickTop="1" thickBot="1" x14ac:dyDescent="0.35">
      <c r="A8" s="110"/>
      <c r="B8" s="111"/>
      <c r="C8" s="112"/>
      <c r="I8" s="144" t="s">
        <v>79</v>
      </c>
      <c r="J8" s="144" t="s">
        <v>75</v>
      </c>
      <c r="K8" s="137" t="s">
        <v>76</v>
      </c>
    </row>
    <row r="9" spans="1:19" ht="18.600000000000001" thickTop="1" thickBot="1" x14ac:dyDescent="0.4">
      <c r="A9" s="16" t="s">
        <v>42</v>
      </c>
      <c r="B9" s="15"/>
      <c r="C9" s="14"/>
      <c r="I9" s="145"/>
      <c r="J9" s="145"/>
      <c r="K9" s="137"/>
    </row>
    <row r="10" spans="1:19" ht="23.25" customHeight="1" thickTop="1" x14ac:dyDescent="0.3">
      <c r="A10" s="75" t="str">
        <f>('Ongoing Activities Input Sheet'!A2:B2)</f>
        <v>Mounting Hardware</v>
      </c>
      <c r="B10" s="76"/>
      <c r="C10" s="2">
        <f>('Ongoing Activities Input Sheet'!C2)</f>
        <v>1</v>
      </c>
      <c r="I10" s="70" t="s">
        <v>73</v>
      </c>
      <c r="J10" s="71">
        <f>'Performance Graphs'!C11</f>
        <v>33</v>
      </c>
      <c r="K10" s="72">
        <f>'Performance Graphs'!B11</f>
        <v>32</v>
      </c>
      <c r="Q10" s="119" t="s">
        <v>117</v>
      </c>
      <c r="R10" s="120"/>
      <c r="S10" s="121"/>
    </row>
    <row r="11" spans="1:19" ht="22.5" customHeight="1" x14ac:dyDescent="0.3">
      <c r="A11" s="75" t="str">
        <f>('Ongoing Activities Input Sheet'!A3:B3)</f>
        <v>Software Configs</v>
      </c>
      <c r="B11" s="76"/>
      <c r="C11" s="2">
        <f>('Ongoing Activities Input Sheet'!C3)</f>
        <v>0.82</v>
      </c>
      <c r="I11" s="70" t="s">
        <v>77</v>
      </c>
      <c r="J11" s="73">
        <f>'Performance Graphs'!H11</f>
        <v>32</v>
      </c>
      <c r="K11" s="72">
        <f>'Performance Graphs'!H11</f>
        <v>32</v>
      </c>
      <c r="Q11" s="122"/>
      <c r="R11" s="123"/>
      <c r="S11" s="124"/>
    </row>
    <row r="12" spans="1:19" x14ac:dyDescent="0.3">
      <c r="A12" s="75" t="str">
        <f>('Ongoing Activities Input Sheet'!A4:B4)</f>
        <v>Assembly</v>
      </c>
      <c r="B12" s="76"/>
      <c r="C12" s="2">
        <f>('Ongoing Activities Input Sheet'!C4)</f>
        <v>0</v>
      </c>
      <c r="I12" s="70" t="s">
        <v>74</v>
      </c>
      <c r="J12" s="73">
        <f>'Performance Graphs'!C23</f>
        <v>36</v>
      </c>
      <c r="K12" s="72">
        <f>'Performance Graphs'!B23</f>
        <v>28</v>
      </c>
    </row>
    <row r="13" spans="1:19" ht="15" thickBot="1" x14ac:dyDescent="0.35">
      <c r="A13" s="75" t="str">
        <f>('Ongoing Activities Input Sheet'!A5:B5)</f>
        <v>Testing</v>
      </c>
      <c r="B13" s="76"/>
      <c r="C13" s="2">
        <f>('Ongoing Activities Input Sheet'!C5)</f>
        <v>0.75</v>
      </c>
      <c r="I13" s="70" t="s">
        <v>78</v>
      </c>
      <c r="J13" s="73">
        <f>'Performance Graphs'!H23</f>
        <v>5</v>
      </c>
      <c r="K13" s="74">
        <f>'Performance Graphs'!G23</f>
        <v>52</v>
      </c>
    </row>
    <row r="14" spans="1:19" ht="15" thickBot="1" x14ac:dyDescent="0.35">
      <c r="A14" s="75" t="str">
        <f>('Ongoing Activities Input Sheet'!A6:B6)</f>
        <v>Training</v>
      </c>
      <c r="B14" s="76"/>
      <c r="C14" s="2">
        <f>('Ongoing Activities Input Sheet'!C6)</f>
        <v>0</v>
      </c>
      <c r="I14" s="57" t="s">
        <v>113</v>
      </c>
      <c r="J14" s="58" t="s">
        <v>115</v>
      </c>
      <c r="K14" s="55"/>
    </row>
    <row r="15" spans="1:19" ht="15" thickBot="1" x14ac:dyDescent="0.35">
      <c r="A15" s="105" t="str">
        <f>('Ongoing Activities Input Sheet'!A7:B7)</f>
        <v>Other</v>
      </c>
      <c r="B15" s="106"/>
      <c r="C15" s="3">
        <f>('Ongoing Activities Input Sheet'!C7)</f>
        <v>1</v>
      </c>
      <c r="I15" s="52" t="s">
        <v>70</v>
      </c>
      <c r="J15" s="53"/>
      <c r="K15" s="54"/>
    </row>
    <row r="16" spans="1:19" ht="18" thickBot="1" x14ac:dyDescent="0.4">
      <c r="A16" s="113" t="s">
        <v>80</v>
      </c>
      <c r="B16" s="114"/>
      <c r="C16" s="115"/>
      <c r="I16" s="125" t="s">
        <v>71</v>
      </c>
      <c r="J16" s="126"/>
      <c r="K16" s="127"/>
    </row>
    <row r="17" spans="1:19" x14ac:dyDescent="0.3">
      <c r="A17" s="116" t="str">
        <f>'Issue Tracking'!A13</f>
        <v>Patch Cables for MMH</v>
      </c>
      <c r="B17" s="117"/>
      <c r="C17" s="118"/>
      <c r="I17" s="125"/>
      <c r="J17" s="126"/>
      <c r="K17" s="127"/>
    </row>
    <row r="18" spans="1:19" x14ac:dyDescent="0.3">
      <c r="A18" s="75" t="str">
        <f>'Issue Tracking'!A14</f>
        <v>Re-rounding</v>
      </c>
      <c r="B18" s="76"/>
      <c r="C18" s="77"/>
      <c r="I18" s="125" t="s">
        <v>114</v>
      </c>
      <c r="J18" s="126"/>
      <c r="K18" s="127"/>
      <c r="Q18" s="131" t="s">
        <v>118</v>
      </c>
      <c r="R18" s="132"/>
      <c r="S18" s="133"/>
    </row>
    <row r="19" spans="1:19" x14ac:dyDescent="0.3">
      <c r="A19" s="81" t="str">
        <f>'Issue Tracking'!A15</f>
        <v>W/A Spot 42 Issues</v>
      </c>
      <c r="B19" s="82"/>
      <c r="C19" s="83"/>
      <c r="I19" s="125"/>
      <c r="J19" s="126"/>
      <c r="K19" s="127"/>
      <c r="Q19" s="134"/>
      <c r="R19" s="135"/>
      <c r="S19" s="136"/>
    </row>
    <row r="20" spans="1:19" x14ac:dyDescent="0.3">
      <c r="A20" s="81">
        <f>'Performance Graphs'!B25</f>
        <v>0</v>
      </c>
      <c r="B20" s="82"/>
      <c r="C20" s="83"/>
      <c r="I20" s="125" t="s">
        <v>72</v>
      </c>
      <c r="J20" s="126"/>
      <c r="K20" s="127"/>
    </row>
    <row r="21" spans="1:19" ht="15" thickBot="1" x14ac:dyDescent="0.35">
      <c r="A21" s="78" t="str">
        <f>'Issue Tracking'!A15</f>
        <v>W/A Spot 42 Issues</v>
      </c>
      <c r="B21" s="79"/>
      <c r="C21" s="80"/>
      <c r="I21" s="128"/>
      <c r="J21" s="129"/>
      <c r="K21" s="130"/>
    </row>
    <row r="22" spans="1:19" ht="20.25" customHeight="1" x14ac:dyDescent="0.3">
      <c r="A22" s="97" t="s">
        <v>61</v>
      </c>
      <c r="B22" s="98"/>
      <c r="C22" s="101" t="str">
        <f>'Issue Tracking'!H11</f>
        <v>˄</v>
      </c>
      <c r="D22" s="103">
        <f>'Issue Tracking'!I11</f>
        <v>1</v>
      </c>
    </row>
    <row r="23" spans="1:19" ht="15" customHeight="1" thickBot="1" x14ac:dyDescent="0.35">
      <c r="A23" s="99"/>
      <c r="B23" s="100"/>
      <c r="C23" s="102"/>
      <c r="D23" s="104"/>
      <c r="H23" s="56" t="s">
        <v>129</v>
      </c>
      <c r="I23" s="59" t="s">
        <v>120</v>
      </c>
    </row>
    <row r="24" spans="1:19" x14ac:dyDescent="0.3">
      <c r="A24" s="88" t="str">
        <f ca="1">'Go Live Schedule'!A22</f>
        <v>-461 days until Go Live!</v>
      </c>
      <c r="B24" s="89"/>
      <c r="C24" s="89"/>
      <c r="D24" s="90"/>
      <c r="I24" s="60" t="s">
        <v>121</v>
      </c>
    </row>
    <row r="25" spans="1:19" x14ac:dyDescent="0.3">
      <c r="A25" s="91"/>
      <c r="B25" s="92"/>
      <c r="C25" s="92"/>
      <c r="D25" s="93"/>
      <c r="I25" s="61" t="s">
        <v>124</v>
      </c>
    </row>
    <row r="26" spans="1:19" ht="15" thickBot="1" x14ac:dyDescent="0.35">
      <c r="A26" s="94"/>
      <c r="B26" s="95"/>
      <c r="C26" s="95"/>
      <c r="D26" s="96"/>
      <c r="I26" s="61" t="s">
        <v>125</v>
      </c>
    </row>
    <row r="27" spans="1:19" x14ac:dyDescent="0.3">
      <c r="A27" s="84">
        <f ca="1">TODAY()</f>
        <v>42995</v>
      </c>
      <c r="B27" s="85"/>
      <c r="I27" s="61" t="s">
        <v>126</v>
      </c>
      <c r="Q27" s="119" t="s">
        <v>119</v>
      </c>
      <c r="R27" s="120"/>
      <c r="S27" s="121"/>
    </row>
    <row r="28" spans="1:19" ht="15" thickBot="1" x14ac:dyDescent="0.35">
      <c r="A28" s="86"/>
      <c r="B28" s="87"/>
      <c r="I28" s="61" t="s">
        <v>127</v>
      </c>
      <c r="J28" s="55"/>
      <c r="Q28" s="122"/>
      <c r="R28" s="123"/>
      <c r="S28" s="124"/>
    </row>
    <row r="29" spans="1:19" x14ac:dyDescent="0.3">
      <c r="I29" s="61" t="s">
        <v>128</v>
      </c>
    </row>
    <row r="30" spans="1:19" x14ac:dyDescent="0.3">
      <c r="I30" s="61" t="s">
        <v>122</v>
      </c>
    </row>
    <row r="31" spans="1:19" x14ac:dyDescent="0.3">
      <c r="I31" s="62" t="s">
        <v>123</v>
      </c>
    </row>
  </sheetData>
  <mergeCells count="30">
    <mergeCell ref="Q10:S11"/>
    <mergeCell ref="Q2:S3"/>
    <mergeCell ref="Q27:S28"/>
    <mergeCell ref="I16:K17"/>
    <mergeCell ref="I18:K19"/>
    <mergeCell ref="I20:K21"/>
    <mergeCell ref="Q18:S19"/>
    <mergeCell ref="K8:K9"/>
    <mergeCell ref="A1:J2"/>
    <mergeCell ref="A10:B10"/>
    <mergeCell ref="A11:B11"/>
    <mergeCell ref="A12:B12"/>
    <mergeCell ref="A3:C4"/>
    <mergeCell ref="J8:J9"/>
    <mergeCell ref="I8:I9"/>
    <mergeCell ref="A13:B13"/>
    <mergeCell ref="A14:B14"/>
    <mergeCell ref="A15:B15"/>
    <mergeCell ref="A5:C8"/>
    <mergeCell ref="A16:C16"/>
    <mergeCell ref="A17:C17"/>
    <mergeCell ref="A18:C18"/>
    <mergeCell ref="A21:C21"/>
    <mergeCell ref="A20:C20"/>
    <mergeCell ref="A19:C19"/>
    <mergeCell ref="A27:B28"/>
    <mergeCell ref="A24:D26"/>
    <mergeCell ref="A22:B23"/>
    <mergeCell ref="C22:C23"/>
    <mergeCell ref="D22:D23"/>
  </mergeCells>
  <conditionalFormatting sqref="C10:C15">
    <cfRule type="cellIs" dxfId="7" priority="5" operator="between">
      <formula>0.84</formula>
      <formula>0.61</formula>
    </cfRule>
    <cfRule type="cellIs" dxfId="6" priority="6" operator="lessThan">
      <formula>0.6</formula>
    </cfRule>
    <cfRule type="cellIs" dxfId="5" priority="7" operator="greaterThan">
      <formula>0.85</formula>
    </cfRule>
  </conditionalFormatting>
  <conditionalFormatting sqref="A5:C8">
    <cfRule type="cellIs" dxfId="4" priority="1" operator="lessThanOrEqual">
      <formula>0.64</formula>
    </cfRule>
    <cfRule type="cellIs" dxfId="3" priority="2" operator="between">
      <formula>0.84</formula>
      <formula>0.65</formula>
    </cfRule>
    <cfRule type="cellIs" dxfId="2" priority="3" operator="greaterThanOrEqual">
      <formula>0.85</formula>
    </cfRule>
  </conditionalFormatting>
  <hyperlinks>
    <hyperlink ref="A9:C9" location="'Ongoing Activities Input Sheet'!A1" display="To Do Prior to Next Go Live:" xr:uid="{00000000-0004-0000-0000-000000000000}"/>
    <hyperlink ref="A16:C16" location="'Issue Tracking'!A1" display="Outstanding Issues:" xr:uid="{00000000-0004-0000-0000-000001000000}"/>
    <hyperlink ref="A22:B23" location="'Issue Tracking'!A1" display="Incidents Reported:" xr:uid="{00000000-0004-0000-0000-000002000000}"/>
  </hyperlinks>
  <pageMargins left="0.7" right="0.7" top="0.75" bottom="0.75" header="0.3" footer="0.3"/>
  <pageSetup orientation="landscape" r:id="rId1"/>
  <drawing r:id="rId2"/>
  <extLst>
    <ext xmlns:x15="http://schemas.microsoft.com/office/spreadsheetml/2010/11/main" uri="{F7C9EE02-42E1-4005-9D12-6889AFFD525C}">
      <x15:webExtensions xmlns:xm="http://schemas.microsoft.com/office/excel/2006/main">
        <x15:webExtension appRef="{83DA6C8D-2A1C-4ED2-8D36-A7975BCAD3F3}">
          <xm:f>'ChartXpress Implementation'!$I$10:$K$15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2"/>
  <sheetViews>
    <sheetView workbookViewId="0">
      <selection activeCell="M15" sqref="M15"/>
    </sheetView>
  </sheetViews>
  <sheetFormatPr defaultRowHeight="14.4" x14ac:dyDescent="0.3"/>
  <cols>
    <col min="2" max="2" width="17" customWidth="1"/>
  </cols>
  <sheetData>
    <row r="1" spans="1:12" ht="18" x14ac:dyDescent="0.35">
      <c r="A1" s="32" t="s">
        <v>43</v>
      </c>
      <c r="B1" s="32"/>
      <c r="C1" s="32"/>
      <c r="D1" s="33"/>
    </row>
    <row r="2" spans="1:12" x14ac:dyDescent="0.3">
      <c r="A2" s="148" t="s">
        <v>96</v>
      </c>
      <c r="B2" s="148"/>
      <c r="C2" s="34">
        <v>1</v>
      </c>
      <c r="L2" s="4"/>
    </row>
    <row r="3" spans="1:12" ht="17.399999999999999" x14ac:dyDescent="0.35">
      <c r="A3" s="148" t="s">
        <v>97</v>
      </c>
      <c r="B3" s="148"/>
      <c r="C3" s="34">
        <v>0.82</v>
      </c>
      <c r="F3" s="146" t="s">
        <v>95</v>
      </c>
      <c r="G3" s="146"/>
    </row>
    <row r="4" spans="1:12" x14ac:dyDescent="0.3">
      <c r="A4" s="148" t="s">
        <v>98</v>
      </c>
      <c r="B4" s="148"/>
      <c r="C4" s="34">
        <v>0</v>
      </c>
      <c r="F4" s="147">
        <f>SUM(C2:C7)/6</f>
        <v>0.59499999999999997</v>
      </c>
      <c r="G4" s="147"/>
    </row>
    <row r="5" spans="1:12" x14ac:dyDescent="0.3">
      <c r="A5" s="148" t="s">
        <v>99</v>
      </c>
      <c r="B5" s="148"/>
      <c r="C5" s="34">
        <v>0.75</v>
      </c>
      <c r="F5" s="147"/>
      <c r="G5" s="147"/>
    </row>
    <row r="6" spans="1:12" x14ac:dyDescent="0.3">
      <c r="A6" s="148" t="s">
        <v>100</v>
      </c>
      <c r="B6" s="148"/>
      <c r="C6" s="34">
        <v>0</v>
      </c>
    </row>
    <row r="7" spans="1:12" x14ac:dyDescent="0.3">
      <c r="A7" s="148" t="s">
        <v>37</v>
      </c>
      <c r="B7" s="148"/>
      <c r="C7" s="34">
        <v>1</v>
      </c>
    </row>
    <row r="11" spans="1:12" ht="18" x14ac:dyDescent="0.35">
      <c r="B11" s="35" t="s">
        <v>101</v>
      </c>
    </row>
    <row r="12" spans="1:12" x14ac:dyDescent="0.3">
      <c r="B12" t="s">
        <v>102</v>
      </c>
    </row>
  </sheetData>
  <mergeCells count="8">
    <mergeCell ref="F3:G3"/>
    <mergeCell ref="F4:G5"/>
    <mergeCell ref="A7:B7"/>
    <mergeCell ref="A2:B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0:K29"/>
  <sheetViews>
    <sheetView topLeftCell="B17" workbookViewId="0">
      <selection activeCell="T33" sqref="T33"/>
    </sheetView>
  </sheetViews>
  <sheetFormatPr defaultRowHeight="14.4" x14ac:dyDescent="0.3"/>
  <cols>
    <col min="1" max="1" width="5" customWidth="1"/>
    <col min="2" max="2" width="13.88671875" customWidth="1"/>
    <col min="3" max="3" width="16.109375" customWidth="1"/>
    <col min="4" max="4" width="15" customWidth="1"/>
    <col min="7" max="7" width="13.109375" customWidth="1"/>
    <col min="8" max="8" width="19.44140625" customWidth="1"/>
    <col min="9" max="9" width="14.88671875" customWidth="1"/>
    <col min="10" max="10" width="15.6640625" customWidth="1"/>
    <col min="11" max="11" width="15" customWidth="1"/>
  </cols>
  <sheetData>
    <row r="10" spans="2:9" ht="15.6" x14ac:dyDescent="0.3">
      <c r="B10" s="22" t="s">
        <v>76</v>
      </c>
      <c r="C10" s="22" t="s">
        <v>75</v>
      </c>
      <c r="D10" s="22" t="s">
        <v>93</v>
      </c>
      <c r="G10" s="22" t="s">
        <v>76</v>
      </c>
      <c r="H10" s="22" t="s">
        <v>75</v>
      </c>
      <c r="I10" s="22" t="s">
        <v>93</v>
      </c>
    </row>
    <row r="11" spans="2:9" x14ac:dyDescent="0.3">
      <c r="B11" s="23">
        <f>D11-C11</f>
        <v>32</v>
      </c>
      <c r="C11" s="23">
        <v>33</v>
      </c>
      <c r="D11" s="23">
        <v>65</v>
      </c>
      <c r="G11" s="24">
        <f>I11-H11</f>
        <v>45</v>
      </c>
      <c r="H11" s="24">
        <v>32</v>
      </c>
      <c r="I11" s="24">
        <v>77</v>
      </c>
    </row>
    <row r="12" spans="2:9" ht="18" x14ac:dyDescent="0.35">
      <c r="B12" s="17" t="s">
        <v>94</v>
      </c>
      <c r="G12" s="17" t="s">
        <v>90</v>
      </c>
    </row>
    <row r="22" spans="2:11" ht="15.6" x14ac:dyDescent="0.3">
      <c r="B22" s="22" t="s">
        <v>76</v>
      </c>
      <c r="C22" s="22" t="s">
        <v>75</v>
      </c>
      <c r="D22" s="22" t="s">
        <v>93</v>
      </c>
      <c r="G22" s="22" t="s">
        <v>76</v>
      </c>
      <c r="H22" s="22" t="s">
        <v>75</v>
      </c>
      <c r="I22" s="22" t="s">
        <v>93</v>
      </c>
    </row>
    <row r="23" spans="2:11" x14ac:dyDescent="0.3">
      <c r="B23" s="24">
        <f>D23-C23</f>
        <v>28</v>
      </c>
      <c r="C23" s="24">
        <v>36</v>
      </c>
      <c r="D23" s="24">
        <v>64</v>
      </c>
      <c r="G23" s="23">
        <f>I23-H23</f>
        <v>52</v>
      </c>
      <c r="H23" s="23">
        <v>5</v>
      </c>
      <c r="I23" s="23">
        <v>57</v>
      </c>
    </row>
    <row r="24" spans="2:11" ht="18" x14ac:dyDescent="0.35">
      <c r="B24" s="17" t="s">
        <v>91</v>
      </c>
      <c r="G24" s="17" t="s">
        <v>92</v>
      </c>
    </row>
    <row r="25" spans="2:11" x14ac:dyDescent="0.3">
      <c r="H25" s="42" t="s">
        <v>66</v>
      </c>
      <c r="I25" s="43" t="s">
        <v>67</v>
      </c>
      <c r="J25" s="43" t="s">
        <v>68</v>
      </c>
      <c r="K25" s="44" t="s">
        <v>69</v>
      </c>
    </row>
    <row r="26" spans="2:11" x14ac:dyDescent="0.3">
      <c r="B26" s="38" t="s">
        <v>70</v>
      </c>
      <c r="C26" s="39"/>
      <c r="D26" s="39"/>
      <c r="E26" s="39"/>
      <c r="F26" s="39"/>
      <c r="G26" s="9"/>
      <c r="H26" s="45">
        <v>33</v>
      </c>
      <c r="I26" s="46">
        <v>32</v>
      </c>
      <c r="J26" s="46">
        <v>36</v>
      </c>
      <c r="K26" s="47">
        <v>5</v>
      </c>
    </row>
    <row r="27" spans="2:11" x14ac:dyDescent="0.3">
      <c r="B27" s="40" t="s">
        <v>71</v>
      </c>
      <c r="C27" s="26"/>
      <c r="D27" s="26"/>
      <c r="E27" s="26"/>
      <c r="F27" s="26"/>
      <c r="G27" s="10"/>
      <c r="H27" s="48">
        <v>14</v>
      </c>
      <c r="I27" s="30">
        <v>14</v>
      </c>
      <c r="J27" s="30">
        <v>20</v>
      </c>
      <c r="K27" s="49">
        <v>0</v>
      </c>
    </row>
    <row r="28" spans="2:11" x14ac:dyDescent="0.3">
      <c r="B28" s="40" t="s">
        <v>112</v>
      </c>
      <c r="C28" s="26"/>
      <c r="D28" s="26"/>
      <c r="E28" s="26"/>
      <c r="F28" s="26"/>
      <c r="G28" s="10"/>
      <c r="H28" s="48">
        <v>8</v>
      </c>
      <c r="I28" s="30">
        <v>7</v>
      </c>
      <c r="J28" s="30">
        <v>7</v>
      </c>
      <c r="K28" s="49">
        <v>1</v>
      </c>
    </row>
    <row r="29" spans="2:11" x14ac:dyDescent="0.3">
      <c r="B29" s="41" t="s">
        <v>72</v>
      </c>
      <c r="C29" s="8"/>
      <c r="D29" s="8"/>
      <c r="E29" s="8"/>
      <c r="F29" s="8"/>
      <c r="G29" s="11"/>
      <c r="H29" s="50">
        <v>23</v>
      </c>
      <c r="I29" s="31">
        <v>20</v>
      </c>
      <c r="J29" s="31">
        <v>33</v>
      </c>
      <c r="K29" s="51">
        <v>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U18"/>
  <sheetViews>
    <sheetView workbookViewId="0">
      <selection activeCell="E14" sqref="E14"/>
    </sheetView>
  </sheetViews>
  <sheetFormatPr defaultRowHeight="14.4" x14ac:dyDescent="0.3"/>
  <sheetData>
    <row r="1" spans="1:21" ht="60" customHeight="1" x14ac:dyDescent="0.4">
      <c r="A1" s="63" t="s">
        <v>44</v>
      </c>
      <c r="B1" s="63"/>
      <c r="C1" s="150" t="s">
        <v>45</v>
      </c>
      <c r="D1" s="150"/>
      <c r="E1" s="150" t="s">
        <v>46</v>
      </c>
      <c r="F1" s="150"/>
      <c r="G1" s="150"/>
      <c r="H1" s="149" t="s">
        <v>47</v>
      </c>
      <c r="I1" s="149"/>
    </row>
    <row r="2" spans="1:21" ht="21" x14ac:dyDescent="0.4">
      <c r="A2" s="64" t="s">
        <v>16</v>
      </c>
      <c r="B2" s="64"/>
      <c r="C2" s="151"/>
      <c r="D2" s="151"/>
      <c r="E2" s="151"/>
      <c r="F2" s="151"/>
      <c r="G2" s="151"/>
      <c r="H2" s="65" t="s">
        <v>48</v>
      </c>
      <c r="I2" s="66" t="s">
        <v>49</v>
      </c>
    </row>
    <row r="3" spans="1:21" x14ac:dyDescent="0.3">
      <c r="A3" t="s">
        <v>104</v>
      </c>
      <c r="B3" s="9"/>
      <c r="C3">
        <v>0</v>
      </c>
      <c r="F3">
        <v>0</v>
      </c>
      <c r="H3" t="b">
        <f>IF(C3&gt;F3,$H$2,IF(C3&lt;F3,$I$2))</f>
        <v>0</v>
      </c>
      <c r="I3">
        <f>ABS(C3-F3)</f>
        <v>0</v>
      </c>
      <c r="U3" s="5"/>
    </row>
    <row r="4" spans="1:21" x14ac:dyDescent="0.3">
      <c r="A4" t="s">
        <v>105</v>
      </c>
      <c r="B4" s="10"/>
      <c r="C4">
        <v>0</v>
      </c>
      <c r="F4">
        <v>0</v>
      </c>
      <c r="H4" t="b">
        <f t="shared" ref="H4:H11" si="0">IF(C4&gt;F4,$H$2,IF(C4&lt;F4,$I$2))</f>
        <v>0</v>
      </c>
      <c r="I4">
        <f t="shared" ref="I4:I11" si="1">ABS(C4-F4)</f>
        <v>0</v>
      </c>
      <c r="U4" s="6"/>
    </row>
    <row r="5" spans="1:21" x14ac:dyDescent="0.3">
      <c r="A5" t="s">
        <v>106</v>
      </c>
      <c r="B5" s="10"/>
      <c r="C5">
        <v>0</v>
      </c>
      <c r="F5">
        <v>0</v>
      </c>
      <c r="H5" t="b">
        <f t="shared" si="0"/>
        <v>0</v>
      </c>
      <c r="I5">
        <f t="shared" si="1"/>
        <v>0</v>
      </c>
    </row>
    <row r="6" spans="1:21" x14ac:dyDescent="0.3">
      <c r="A6" t="s">
        <v>107</v>
      </c>
      <c r="B6" s="10"/>
      <c r="C6">
        <v>1</v>
      </c>
      <c r="F6">
        <v>0</v>
      </c>
      <c r="H6" t="str">
        <f t="shared" si="0"/>
        <v>˄</v>
      </c>
      <c r="I6">
        <f t="shared" si="1"/>
        <v>1</v>
      </c>
    </row>
    <row r="7" spans="1:21" x14ac:dyDescent="0.3">
      <c r="A7" t="s">
        <v>108</v>
      </c>
      <c r="B7" s="10"/>
      <c r="C7">
        <v>0</v>
      </c>
      <c r="F7">
        <v>0</v>
      </c>
      <c r="H7" t="b">
        <f t="shared" si="0"/>
        <v>0</v>
      </c>
      <c r="I7">
        <f t="shared" si="1"/>
        <v>0</v>
      </c>
    </row>
    <row r="8" spans="1:21" x14ac:dyDescent="0.3">
      <c r="A8" t="s">
        <v>109</v>
      </c>
      <c r="B8" s="10"/>
      <c r="C8">
        <v>0</v>
      </c>
      <c r="F8">
        <v>0</v>
      </c>
      <c r="H8" t="b">
        <f t="shared" si="0"/>
        <v>0</v>
      </c>
      <c r="I8">
        <f t="shared" si="1"/>
        <v>0</v>
      </c>
    </row>
    <row r="9" spans="1:21" x14ac:dyDescent="0.3">
      <c r="A9" t="s">
        <v>110</v>
      </c>
      <c r="B9" s="10"/>
      <c r="C9">
        <v>0</v>
      </c>
      <c r="F9">
        <v>0</v>
      </c>
      <c r="H9" t="b">
        <f t="shared" si="0"/>
        <v>0</v>
      </c>
      <c r="I9">
        <f t="shared" si="1"/>
        <v>0</v>
      </c>
    </row>
    <row r="10" spans="1:21" x14ac:dyDescent="0.3">
      <c r="A10" s="8" t="s">
        <v>111</v>
      </c>
      <c r="B10" s="11"/>
      <c r="C10" s="8">
        <v>0</v>
      </c>
      <c r="D10" s="8"/>
      <c r="E10" s="8"/>
      <c r="F10" s="8">
        <v>0</v>
      </c>
      <c r="G10" s="8"/>
      <c r="H10" s="8" t="b">
        <f t="shared" si="0"/>
        <v>0</v>
      </c>
      <c r="I10" s="8">
        <f t="shared" si="1"/>
        <v>0</v>
      </c>
    </row>
    <row r="11" spans="1:21" ht="15" thickBot="1" x14ac:dyDescent="0.35">
      <c r="A11" t="s">
        <v>62</v>
      </c>
      <c r="B11" s="10"/>
      <c r="C11">
        <f>SUM(C3:C10)</f>
        <v>1</v>
      </c>
      <c r="F11">
        <f>SUM(F3:F10)</f>
        <v>0</v>
      </c>
      <c r="H11" t="str">
        <f t="shared" si="0"/>
        <v>˄</v>
      </c>
      <c r="I11">
        <f t="shared" si="1"/>
        <v>1</v>
      </c>
    </row>
    <row r="12" spans="1:21" ht="21.6" thickBot="1" x14ac:dyDescent="0.45">
      <c r="A12" s="67" t="s">
        <v>63</v>
      </c>
      <c r="B12" s="68"/>
      <c r="C12" s="69"/>
    </row>
    <row r="13" spans="1:21" x14ac:dyDescent="0.3">
      <c r="A13" s="36" t="s">
        <v>64</v>
      </c>
      <c r="B13" s="26"/>
      <c r="C13" s="27"/>
    </row>
    <row r="14" spans="1:21" x14ac:dyDescent="0.3">
      <c r="A14" s="36" t="s">
        <v>103</v>
      </c>
      <c r="B14" s="26"/>
      <c r="C14" s="27"/>
    </row>
    <row r="15" spans="1:21" x14ac:dyDescent="0.3">
      <c r="A15" s="36" t="s">
        <v>130</v>
      </c>
      <c r="B15" s="26"/>
      <c r="C15" s="27"/>
    </row>
    <row r="16" spans="1:21" x14ac:dyDescent="0.3">
      <c r="A16" s="25"/>
      <c r="B16" s="26"/>
      <c r="C16" s="27"/>
    </row>
    <row r="17" spans="1:3" x14ac:dyDescent="0.3">
      <c r="A17" s="25"/>
      <c r="B17" s="26"/>
      <c r="C17" s="27"/>
    </row>
    <row r="18" spans="1:3" ht="15" thickBot="1" x14ac:dyDescent="0.35">
      <c r="A18" s="28"/>
      <c r="B18" s="29"/>
      <c r="C18" s="37"/>
    </row>
  </sheetData>
  <mergeCells count="3">
    <mergeCell ref="H1:I1"/>
    <mergeCell ref="E1:G2"/>
    <mergeCell ref="C1: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2"/>
  <sheetViews>
    <sheetView workbookViewId="0">
      <selection activeCell="F5" sqref="F5"/>
    </sheetView>
  </sheetViews>
  <sheetFormatPr defaultRowHeight="14.4" x14ac:dyDescent="0.3"/>
  <cols>
    <col min="1" max="1" width="23.44140625" customWidth="1"/>
    <col min="2" max="2" width="29.88671875" customWidth="1"/>
    <col min="3" max="3" width="32.109375" customWidth="1"/>
    <col min="4" max="4" width="19.33203125" customWidth="1"/>
    <col min="5" max="5" width="15.88671875" customWidth="1"/>
    <col min="6" max="6" width="14" customWidth="1"/>
    <col min="7" max="7" width="11.109375" customWidth="1"/>
    <col min="8" max="8" width="13.6640625" customWidth="1"/>
  </cols>
  <sheetData>
    <row r="1" spans="1:8" ht="18" x14ac:dyDescent="0.3">
      <c r="A1" s="12" t="s">
        <v>50</v>
      </c>
      <c r="B1" s="21" t="s">
        <v>51</v>
      </c>
      <c r="C1" s="21" t="s">
        <v>60</v>
      </c>
      <c r="D1" s="7"/>
      <c r="E1" s="7"/>
      <c r="F1" s="7"/>
      <c r="G1" s="7"/>
      <c r="H1" s="7"/>
    </row>
    <row r="2" spans="1:8" x14ac:dyDescent="0.3">
      <c r="A2" t="s">
        <v>52</v>
      </c>
      <c r="B2" s="19">
        <v>42534</v>
      </c>
      <c r="C2" s="20">
        <f ca="1">B2-TODAY()</f>
        <v>-461</v>
      </c>
    </row>
    <row r="3" spans="1:8" x14ac:dyDescent="0.3">
      <c r="A3" t="s">
        <v>53</v>
      </c>
      <c r="B3" s="19">
        <v>42535</v>
      </c>
      <c r="C3" s="20">
        <f t="shared" ref="C3:C14" ca="1" si="0">B3-TODAY()</f>
        <v>-460</v>
      </c>
    </row>
    <row r="4" spans="1:8" x14ac:dyDescent="0.3">
      <c r="A4" t="s">
        <v>54</v>
      </c>
      <c r="B4" s="19">
        <v>42536</v>
      </c>
      <c r="C4" s="20">
        <f t="shared" ca="1" si="0"/>
        <v>-459</v>
      </c>
    </row>
    <row r="5" spans="1:8" x14ac:dyDescent="0.3">
      <c r="A5" t="s">
        <v>55</v>
      </c>
      <c r="B5" s="19">
        <v>42645</v>
      </c>
      <c r="C5" s="20">
        <f t="shared" ca="1" si="0"/>
        <v>-350</v>
      </c>
    </row>
    <row r="6" spans="1:8" x14ac:dyDescent="0.3">
      <c r="A6" t="s">
        <v>56</v>
      </c>
      <c r="B6" s="19">
        <v>42680</v>
      </c>
      <c r="C6" s="20">
        <f t="shared" ca="1" si="0"/>
        <v>-315</v>
      </c>
    </row>
    <row r="7" spans="1:8" x14ac:dyDescent="0.3">
      <c r="A7" t="s">
        <v>57</v>
      </c>
      <c r="B7" s="19">
        <v>42645</v>
      </c>
      <c r="C7" s="20">
        <f t="shared" ca="1" si="0"/>
        <v>-350</v>
      </c>
    </row>
    <row r="8" spans="1:8" x14ac:dyDescent="0.3">
      <c r="A8" t="s">
        <v>58</v>
      </c>
      <c r="B8" s="19">
        <v>42576</v>
      </c>
      <c r="C8" s="20">
        <f t="shared" ca="1" si="0"/>
        <v>-419</v>
      </c>
    </row>
    <row r="9" spans="1:8" x14ac:dyDescent="0.3">
      <c r="A9" t="s">
        <v>5</v>
      </c>
      <c r="B9" s="19">
        <v>42611</v>
      </c>
      <c r="C9" s="20">
        <f t="shared" ca="1" si="0"/>
        <v>-384</v>
      </c>
    </row>
    <row r="10" spans="1:8" x14ac:dyDescent="0.3">
      <c r="A10" t="s">
        <v>36</v>
      </c>
      <c r="B10" s="19">
        <v>42639</v>
      </c>
      <c r="C10" s="20">
        <f t="shared" ca="1" si="0"/>
        <v>-356</v>
      </c>
    </row>
    <row r="11" spans="1:8" x14ac:dyDescent="0.3">
      <c r="A11" t="s">
        <v>32</v>
      </c>
      <c r="B11" s="19">
        <v>42640</v>
      </c>
      <c r="C11" s="20">
        <f t="shared" ca="1" si="0"/>
        <v>-355</v>
      </c>
    </row>
    <row r="12" spans="1:8" x14ac:dyDescent="0.3">
      <c r="A12" t="s">
        <v>35</v>
      </c>
      <c r="B12" s="19">
        <v>42645</v>
      </c>
      <c r="C12" s="20">
        <f t="shared" ca="1" si="0"/>
        <v>-350</v>
      </c>
    </row>
    <row r="13" spans="1:8" x14ac:dyDescent="0.3">
      <c r="A13" t="s">
        <v>59</v>
      </c>
      <c r="B13" s="19">
        <v>42680</v>
      </c>
      <c r="C13" s="20">
        <f t="shared" ca="1" si="0"/>
        <v>-315</v>
      </c>
    </row>
    <row r="14" spans="1:8" x14ac:dyDescent="0.3">
      <c r="A14" t="s">
        <v>33</v>
      </c>
      <c r="B14" s="19">
        <v>42680</v>
      </c>
      <c r="C14" s="20">
        <f t="shared" ca="1" si="0"/>
        <v>-315</v>
      </c>
    </row>
    <row r="15" spans="1:8" x14ac:dyDescent="0.3">
      <c r="A15" t="s">
        <v>85</v>
      </c>
      <c r="B15" s="7" t="s">
        <v>89</v>
      </c>
      <c r="C15" s="13" t="s">
        <v>87</v>
      </c>
    </row>
    <row r="16" spans="1:8" x14ac:dyDescent="0.3">
      <c r="A16" t="s">
        <v>83</v>
      </c>
      <c r="B16" s="13" t="s">
        <v>88</v>
      </c>
      <c r="C16" s="13" t="s">
        <v>87</v>
      </c>
    </row>
    <row r="17" spans="1:3" x14ac:dyDescent="0.3">
      <c r="A17" t="s">
        <v>84</v>
      </c>
      <c r="B17" s="13" t="s">
        <v>88</v>
      </c>
      <c r="C17" s="13" t="s">
        <v>87</v>
      </c>
    </row>
    <row r="18" spans="1:3" x14ac:dyDescent="0.3">
      <c r="A18" t="s">
        <v>90</v>
      </c>
      <c r="B18" s="13" t="s">
        <v>89</v>
      </c>
      <c r="C18" s="13" t="s">
        <v>87</v>
      </c>
    </row>
    <row r="19" spans="1:3" x14ac:dyDescent="0.3">
      <c r="A19" t="s">
        <v>91</v>
      </c>
      <c r="B19" s="13" t="s">
        <v>89</v>
      </c>
      <c r="C19" s="13" t="s">
        <v>87</v>
      </c>
    </row>
    <row r="20" spans="1:3" x14ac:dyDescent="0.3">
      <c r="A20" t="s">
        <v>86</v>
      </c>
      <c r="B20" s="13" t="s">
        <v>89</v>
      </c>
      <c r="C20" s="13" t="s">
        <v>87</v>
      </c>
    </row>
    <row r="21" spans="1:3" x14ac:dyDescent="0.3">
      <c r="A21" t="s">
        <v>92</v>
      </c>
      <c r="B21" s="13" t="s">
        <v>89</v>
      </c>
      <c r="C21" s="13" t="s">
        <v>87</v>
      </c>
    </row>
    <row r="22" spans="1:3" ht="25.8" x14ac:dyDescent="0.5">
      <c r="A22" s="18" t="str">
        <f ca="1">MIN(C2:C14)&amp;" days until Go Live!"</f>
        <v>-461 days until Go Live!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21"/>
  <sheetViews>
    <sheetView workbookViewId="0"/>
  </sheetViews>
  <sheetFormatPr defaultRowHeight="14.4" x14ac:dyDescent="0.3"/>
  <cols>
    <col min="1" max="1" width="21.33203125" customWidth="1"/>
    <col min="2" max="2" width="17.5546875" customWidth="1"/>
    <col min="3" max="3" width="57.44140625" customWidth="1"/>
    <col min="4" max="4" width="18.109375" customWidth="1"/>
    <col min="5" max="5" width="19.5546875" customWidth="1"/>
    <col min="6" max="6" width="16.5546875" customWidth="1"/>
    <col min="7" max="7" width="29" customWidth="1"/>
    <col min="8" max="8" width="19.109375" customWidth="1"/>
    <col min="9" max="9" width="14.33203125" customWidth="1"/>
  </cols>
  <sheetData>
    <row r="1" spans="1:10" x14ac:dyDescent="0.3">
      <c r="A1" t="s">
        <v>0</v>
      </c>
      <c r="B1" t="s">
        <v>7</v>
      </c>
      <c r="C1" t="s">
        <v>4</v>
      </c>
      <c r="D1" t="s">
        <v>38</v>
      </c>
      <c r="E1" t="s">
        <v>18</v>
      </c>
      <c r="F1" t="s">
        <v>40</v>
      </c>
      <c r="G1" t="s">
        <v>3</v>
      </c>
      <c r="H1" t="s">
        <v>39</v>
      </c>
    </row>
    <row r="2" spans="1:10" x14ac:dyDescent="0.3">
      <c r="A2" t="s">
        <v>1</v>
      </c>
      <c r="B2" t="s">
        <v>8</v>
      </c>
      <c r="C2" t="s">
        <v>15</v>
      </c>
      <c r="D2" t="s">
        <v>17</v>
      </c>
      <c r="E2" t="s">
        <v>21</v>
      </c>
      <c r="G2" t="s">
        <v>5</v>
      </c>
      <c r="H2" t="b">
        <v>0</v>
      </c>
      <c r="J2">
        <f>COUNTIF(H2:H21,"TRUE")</f>
        <v>5</v>
      </c>
    </row>
    <row r="3" spans="1:10" x14ac:dyDescent="0.3">
      <c r="A3" t="s">
        <v>2</v>
      </c>
      <c r="B3" t="s">
        <v>9</v>
      </c>
      <c r="C3" t="s">
        <v>16</v>
      </c>
      <c r="D3" t="s">
        <v>37</v>
      </c>
      <c r="E3" t="s">
        <v>19</v>
      </c>
      <c r="G3" t="s">
        <v>36</v>
      </c>
      <c r="H3" t="b">
        <v>0</v>
      </c>
      <c r="J3">
        <f>COUNTIF(H2:H21,"FALSE")</f>
        <v>15</v>
      </c>
    </row>
    <row r="4" spans="1:10" x14ac:dyDescent="0.3">
      <c r="B4" t="s">
        <v>10</v>
      </c>
      <c r="E4" t="s">
        <v>20</v>
      </c>
      <c r="G4" t="s">
        <v>35</v>
      </c>
      <c r="H4" t="b">
        <v>0</v>
      </c>
      <c r="J4">
        <f>SUM(J2,J3)</f>
        <v>20</v>
      </c>
    </row>
    <row r="5" spans="1:10" x14ac:dyDescent="0.3">
      <c r="B5" t="s">
        <v>11</v>
      </c>
      <c r="G5" t="s">
        <v>6</v>
      </c>
      <c r="H5" t="b">
        <v>0</v>
      </c>
      <c r="J5" s="1">
        <f>J2/18</f>
        <v>0.27777777777777779</v>
      </c>
    </row>
    <row r="6" spans="1:10" x14ac:dyDescent="0.3">
      <c r="B6" t="s">
        <v>12</v>
      </c>
      <c r="G6" t="s">
        <v>22</v>
      </c>
      <c r="H6" t="b">
        <v>1</v>
      </c>
    </row>
    <row r="7" spans="1:10" x14ac:dyDescent="0.3">
      <c r="B7" t="s">
        <v>13</v>
      </c>
      <c r="G7" t="s">
        <v>32</v>
      </c>
      <c r="H7" t="b">
        <v>0</v>
      </c>
    </row>
    <row r="8" spans="1:10" x14ac:dyDescent="0.3">
      <c r="G8" t="s">
        <v>31</v>
      </c>
      <c r="H8" t="b">
        <v>0</v>
      </c>
    </row>
    <row r="9" spans="1:10" x14ac:dyDescent="0.3">
      <c r="G9" t="s">
        <v>28</v>
      </c>
      <c r="H9" t="b">
        <v>0</v>
      </c>
    </row>
    <row r="10" spans="1:10" x14ac:dyDescent="0.3">
      <c r="G10" t="s">
        <v>27</v>
      </c>
      <c r="H10" t="b">
        <v>1</v>
      </c>
    </row>
    <row r="11" spans="1:10" x14ac:dyDescent="0.3">
      <c r="G11" t="s">
        <v>23</v>
      </c>
      <c r="H11" t="b">
        <v>0</v>
      </c>
    </row>
    <row r="12" spans="1:10" x14ac:dyDescent="0.3">
      <c r="G12" t="s">
        <v>25</v>
      </c>
      <c r="H12" t="b">
        <v>0</v>
      </c>
    </row>
    <row r="13" spans="1:10" x14ac:dyDescent="0.3">
      <c r="G13" t="s">
        <v>26</v>
      </c>
      <c r="H13" t="b">
        <v>0</v>
      </c>
    </row>
    <row r="14" spans="1:10" x14ac:dyDescent="0.3">
      <c r="G14" t="s">
        <v>30</v>
      </c>
      <c r="H14" t="b">
        <v>0</v>
      </c>
    </row>
    <row r="15" spans="1:10" x14ac:dyDescent="0.3">
      <c r="G15" t="s">
        <v>29</v>
      </c>
      <c r="H15" t="b">
        <v>0</v>
      </c>
    </row>
    <row r="16" spans="1:10" x14ac:dyDescent="0.3">
      <c r="G16" t="s">
        <v>24</v>
      </c>
      <c r="H16" t="b">
        <v>0</v>
      </c>
    </row>
    <row r="17" spans="7:8" x14ac:dyDescent="0.3">
      <c r="G17" t="s">
        <v>34</v>
      </c>
      <c r="H17" t="b">
        <v>0</v>
      </c>
    </row>
    <row r="18" spans="7:8" x14ac:dyDescent="0.3">
      <c r="G18" t="s">
        <v>14</v>
      </c>
      <c r="H18" t="b">
        <v>1</v>
      </c>
    </row>
    <row r="19" spans="7:8" x14ac:dyDescent="0.3">
      <c r="G19" t="s">
        <v>33</v>
      </c>
      <c r="H19" t="b">
        <v>0</v>
      </c>
    </row>
    <row r="20" spans="7:8" x14ac:dyDescent="0.3">
      <c r="G20" t="s">
        <v>81</v>
      </c>
      <c r="H20" t="b">
        <v>1</v>
      </c>
    </row>
    <row r="21" spans="7:8" x14ac:dyDescent="0.3">
      <c r="G21" t="s">
        <v>82</v>
      </c>
      <c r="H21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autoFill="0" autoLine="0" autoPict="0">
                <anchor moveWithCells="1">
                  <from>
                    <xdr:col>6</xdr:col>
                    <xdr:colOff>2545080</xdr:colOff>
                    <xdr:row>0</xdr:row>
                    <xdr:rowOff>182880</xdr:rowOff>
                  </from>
                  <to>
                    <xdr:col>7</xdr:col>
                    <xdr:colOff>807720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defaultSize="0" autoFill="0" autoLine="0" autoPict="0">
                <anchor moveWithCells="1">
                  <from>
                    <xdr:col>6</xdr:col>
                    <xdr:colOff>2545080</xdr:colOff>
                    <xdr:row>1</xdr:row>
                    <xdr:rowOff>182880</xdr:rowOff>
                  </from>
                  <to>
                    <xdr:col>7</xdr:col>
                    <xdr:colOff>807720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Check Box 3">
              <controlPr defaultSize="0" autoFill="0" autoLine="0" autoPict="0">
                <anchor moveWithCells="1">
                  <from>
                    <xdr:col>6</xdr:col>
                    <xdr:colOff>2545080</xdr:colOff>
                    <xdr:row>2</xdr:row>
                    <xdr:rowOff>182880</xdr:rowOff>
                  </from>
                  <to>
                    <xdr:col>7</xdr:col>
                    <xdr:colOff>807720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6</xdr:col>
                    <xdr:colOff>2545080</xdr:colOff>
                    <xdr:row>3</xdr:row>
                    <xdr:rowOff>182880</xdr:rowOff>
                  </from>
                  <to>
                    <xdr:col>7</xdr:col>
                    <xdr:colOff>807720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Check Box 5">
              <controlPr defaultSize="0" autoFill="0" autoLine="0" autoPict="0">
                <anchor moveWithCells="1">
                  <from>
                    <xdr:col>6</xdr:col>
                    <xdr:colOff>2545080</xdr:colOff>
                    <xdr:row>4</xdr:row>
                    <xdr:rowOff>182880</xdr:rowOff>
                  </from>
                  <to>
                    <xdr:col>7</xdr:col>
                    <xdr:colOff>807720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Check Box 6">
              <controlPr defaultSize="0" autoFill="0" autoLine="0" autoPict="0">
                <anchor moveWithCells="1">
                  <from>
                    <xdr:col>6</xdr:col>
                    <xdr:colOff>2545080</xdr:colOff>
                    <xdr:row>5</xdr:row>
                    <xdr:rowOff>182880</xdr:rowOff>
                  </from>
                  <to>
                    <xdr:col>7</xdr:col>
                    <xdr:colOff>807720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Check Box 7">
              <controlPr defaultSize="0" autoFill="0" autoLine="0" autoPict="0">
                <anchor moveWithCells="1">
                  <from>
                    <xdr:col>6</xdr:col>
                    <xdr:colOff>2545080</xdr:colOff>
                    <xdr:row>6</xdr:row>
                    <xdr:rowOff>182880</xdr:rowOff>
                  </from>
                  <to>
                    <xdr:col>7</xdr:col>
                    <xdr:colOff>807720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Check Box 8">
              <controlPr defaultSize="0" autoFill="0" autoLine="0" autoPict="0">
                <anchor moveWithCells="1">
                  <from>
                    <xdr:col>6</xdr:col>
                    <xdr:colOff>2545080</xdr:colOff>
                    <xdr:row>7</xdr:row>
                    <xdr:rowOff>182880</xdr:rowOff>
                  </from>
                  <to>
                    <xdr:col>7</xdr:col>
                    <xdr:colOff>807720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Check Box 9">
              <controlPr defaultSize="0" autoFill="0" autoLine="0" autoPict="0">
                <anchor moveWithCells="1">
                  <from>
                    <xdr:col>6</xdr:col>
                    <xdr:colOff>2545080</xdr:colOff>
                    <xdr:row>8</xdr:row>
                    <xdr:rowOff>182880</xdr:rowOff>
                  </from>
                  <to>
                    <xdr:col>7</xdr:col>
                    <xdr:colOff>807720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6</xdr:col>
                    <xdr:colOff>2545080</xdr:colOff>
                    <xdr:row>9</xdr:row>
                    <xdr:rowOff>182880</xdr:rowOff>
                  </from>
                  <to>
                    <xdr:col>7</xdr:col>
                    <xdr:colOff>807720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6</xdr:col>
                    <xdr:colOff>2545080</xdr:colOff>
                    <xdr:row>10</xdr:row>
                    <xdr:rowOff>182880</xdr:rowOff>
                  </from>
                  <to>
                    <xdr:col>7</xdr:col>
                    <xdr:colOff>807720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5" name="Check Box 12">
              <controlPr defaultSize="0" autoFill="0" autoLine="0" autoPict="0">
                <anchor moveWithCells="1">
                  <from>
                    <xdr:col>6</xdr:col>
                    <xdr:colOff>2545080</xdr:colOff>
                    <xdr:row>11</xdr:row>
                    <xdr:rowOff>182880</xdr:rowOff>
                  </from>
                  <to>
                    <xdr:col>7</xdr:col>
                    <xdr:colOff>807720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6" name="Check Box 13">
              <controlPr defaultSize="0" autoFill="0" autoLine="0" autoPict="0">
                <anchor moveWithCells="1">
                  <from>
                    <xdr:col>6</xdr:col>
                    <xdr:colOff>2545080</xdr:colOff>
                    <xdr:row>12</xdr:row>
                    <xdr:rowOff>182880</xdr:rowOff>
                  </from>
                  <to>
                    <xdr:col>7</xdr:col>
                    <xdr:colOff>807720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7" name="Check Box 14">
              <controlPr defaultSize="0" autoFill="0" autoLine="0" autoPict="0">
                <anchor moveWithCells="1">
                  <from>
                    <xdr:col>6</xdr:col>
                    <xdr:colOff>2545080</xdr:colOff>
                    <xdr:row>13</xdr:row>
                    <xdr:rowOff>182880</xdr:rowOff>
                  </from>
                  <to>
                    <xdr:col>7</xdr:col>
                    <xdr:colOff>807720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8" name="Check Box 15">
              <controlPr defaultSize="0" autoFill="0" autoLine="0" autoPict="0">
                <anchor moveWithCells="1">
                  <from>
                    <xdr:col>6</xdr:col>
                    <xdr:colOff>2545080</xdr:colOff>
                    <xdr:row>14</xdr:row>
                    <xdr:rowOff>182880</xdr:rowOff>
                  </from>
                  <to>
                    <xdr:col>7</xdr:col>
                    <xdr:colOff>807720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9" name="Check Box 16">
              <controlPr defaultSize="0" autoFill="0" autoLine="0" autoPict="0">
                <anchor moveWithCells="1">
                  <from>
                    <xdr:col>6</xdr:col>
                    <xdr:colOff>2545080</xdr:colOff>
                    <xdr:row>15</xdr:row>
                    <xdr:rowOff>182880</xdr:rowOff>
                  </from>
                  <to>
                    <xdr:col>7</xdr:col>
                    <xdr:colOff>807720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0" name="Check Box 17">
              <controlPr defaultSize="0" autoFill="0" autoLine="0" autoPict="0">
                <anchor moveWithCells="1">
                  <from>
                    <xdr:col>6</xdr:col>
                    <xdr:colOff>2545080</xdr:colOff>
                    <xdr:row>16</xdr:row>
                    <xdr:rowOff>182880</xdr:rowOff>
                  </from>
                  <to>
                    <xdr:col>7</xdr:col>
                    <xdr:colOff>807720</xdr:colOff>
                    <xdr:row>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1" name="Check Box 18">
              <controlPr defaultSize="0" autoFill="0" autoLine="0" autoPict="0">
                <anchor moveWithCells="1">
                  <from>
                    <xdr:col>6</xdr:col>
                    <xdr:colOff>2545080</xdr:colOff>
                    <xdr:row>17</xdr:row>
                    <xdr:rowOff>182880</xdr:rowOff>
                  </from>
                  <to>
                    <xdr:col>7</xdr:col>
                    <xdr:colOff>807720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2" name="Check Box 20">
              <controlPr defaultSize="0" autoFill="0" autoLine="0" autoPict="0">
                <anchor moveWithCells="1">
                  <from>
                    <xdr:col>7</xdr:col>
                    <xdr:colOff>7620</xdr:colOff>
                    <xdr:row>18</xdr:row>
                    <xdr:rowOff>182880</xdr:rowOff>
                  </from>
                  <to>
                    <xdr:col>7</xdr:col>
                    <xdr:colOff>822960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3" name="Check Box 22">
              <controlPr defaultSize="0" autoFill="0" autoLine="0" autoPict="0">
                <anchor moveWithCells="1">
                  <from>
                    <xdr:col>7</xdr:col>
                    <xdr:colOff>7620</xdr:colOff>
                    <xdr:row>20</xdr:row>
                    <xdr:rowOff>0</xdr:rowOff>
                  </from>
                  <to>
                    <xdr:col>7</xdr:col>
                    <xdr:colOff>822960</xdr:colOff>
                    <xdr:row>21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6">
    <tablePart r:id="rId24"/>
    <tablePart r:id="rId25"/>
    <tablePart r:id="rId26"/>
    <tablePart r:id="rId27"/>
    <tablePart r:id="rId28"/>
    <tablePart r:id="rId2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ChartXpress Implementation</vt:lpstr>
      <vt:lpstr>Ongoing Activities Input Sheet</vt:lpstr>
      <vt:lpstr>Performance Graphs</vt:lpstr>
      <vt:lpstr>Issue Tracking</vt:lpstr>
      <vt:lpstr>Go Live Schedule</vt:lpstr>
      <vt:lpstr>List Index</vt:lpstr>
      <vt:lpstr>TargetDate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Conniff, Kyle</dc:creator>
  <cp:lastModifiedBy>Kyle Conniff</cp:lastModifiedBy>
  <cp:lastPrinted>2016-04-27T18:59:30Z</cp:lastPrinted>
  <dcterms:created xsi:type="dcterms:W3CDTF">2016-04-01T11:54:33Z</dcterms:created>
  <dcterms:modified xsi:type="dcterms:W3CDTF">2017-09-17T18:38:27Z</dcterms:modified>
</cp:coreProperties>
</file>